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jay.kumar.pandaga\Desktop\payslips\"/>
    </mc:Choice>
  </mc:AlternateContent>
  <xr:revisionPtr revIDLastSave="0" documentId="13_ncr:1_{65AA5C0E-11A4-4D52-BD58-247AF5A85D1A}" xr6:coauthVersionLast="47" xr6:coauthVersionMax="47" xr10:uidLastSave="{00000000-0000-0000-0000-000000000000}"/>
  <bookViews>
    <workbookView xWindow="-108" yWindow="-108" windowWidth="23256" windowHeight="12456" xr2:uid="{BEB9C5C7-701D-4B9A-A515-3928FDABBB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9" i="1" l="1"/>
  <c r="J12" i="1"/>
  <c r="S9" i="1"/>
  <c r="O9" i="1"/>
  <c r="S8" i="1"/>
  <c r="O8" i="1"/>
  <c r="E8" i="1"/>
  <c r="G8" i="1" s="1"/>
  <c r="S7" i="1"/>
  <c r="O7" i="1"/>
  <c r="E7" i="1"/>
  <c r="G7" i="1" s="1"/>
  <c r="F6" i="1"/>
  <c r="E6" i="1"/>
  <c r="E5" i="1"/>
  <c r="E4" i="1"/>
  <c r="E3" i="1"/>
  <c r="T7" i="1" l="1"/>
  <c r="T8" i="1"/>
  <c r="E12" i="1"/>
  <c r="G12" i="1" s="1"/>
  <c r="G99" i="1" s="1"/>
  <c r="K99" i="1" s="1"/>
  <c r="T9" i="1"/>
  <c r="O12" i="1"/>
  <c r="O16" i="1" s="1"/>
  <c r="F5" i="1"/>
  <c r="G5" i="1" s="1"/>
  <c r="S12" i="1"/>
  <c r="T12" i="1" l="1"/>
</calcChain>
</file>

<file path=xl/sharedStrings.xml><?xml version="1.0" encoding="utf-8"?>
<sst xmlns="http://schemas.openxmlformats.org/spreadsheetml/2006/main" count="105" uniqueCount="74">
  <si>
    <t>Date</t>
  </si>
  <si>
    <t>Company</t>
  </si>
  <si>
    <t>No of shares</t>
  </si>
  <si>
    <t xml:space="preserve">price </t>
  </si>
  <si>
    <t>total</t>
  </si>
  <si>
    <t>AVG</t>
  </si>
  <si>
    <t>Bajaj</t>
  </si>
  <si>
    <t>SOLD</t>
  </si>
  <si>
    <t>LTI</t>
  </si>
  <si>
    <t>LTIM</t>
  </si>
  <si>
    <t>Deepakntr</t>
  </si>
  <si>
    <t>DEEPAK</t>
  </si>
  <si>
    <t>BAJAJFIN</t>
  </si>
  <si>
    <t>at Tpally</t>
  </si>
  <si>
    <t>shekar - vjw</t>
  </si>
  <si>
    <t>trasfered to Lathu</t>
  </si>
  <si>
    <t>Fastag</t>
  </si>
  <si>
    <t xml:space="preserve">ICICI Check </t>
  </si>
  <si>
    <t>fastag</t>
  </si>
  <si>
    <t>varanasi</t>
  </si>
  <si>
    <t>Phonepe</t>
  </si>
  <si>
    <t>lathu/PP</t>
  </si>
  <si>
    <t>Radha krishna- PP</t>
  </si>
  <si>
    <t>Honey - SAT exam fee</t>
  </si>
  <si>
    <t>mabaz</t>
  </si>
  <si>
    <t>salary</t>
  </si>
  <si>
    <t>50k - return</t>
  </si>
  <si>
    <t>cloths balance</t>
  </si>
  <si>
    <t>30-12-23</t>
  </si>
  <si>
    <t>amaranath KMM PP</t>
  </si>
  <si>
    <t>vemula pandu PP</t>
  </si>
  <si>
    <t>ipmat exam fee</t>
  </si>
  <si>
    <t>Uma devi accountant</t>
  </si>
  <si>
    <t>phonepe</t>
  </si>
  <si>
    <t>car cover</t>
  </si>
  <si>
    <t>kiran akka</t>
  </si>
  <si>
    <t>Phonepe -courier</t>
  </si>
  <si>
    <t>laptop</t>
  </si>
  <si>
    <t>phonepe -Kmm</t>
  </si>
  <si>
    <t>phonepe - scan lathu</t>
  </si>
  <si>
    <t>phone-Flex</t>
  </si>
  <si>
    <t>Phone Pe- Flowers</t>
  </si>
  <si>
    <t>phone Pe - Shampoo</t>
  </si>
  <si>
    <t>phone Pe- wine</t>
  </si>
  <si>
    <t>PP - Packer and movers</t>
  </si>
  <si>
    <t>PP- G</t>
  </si>
  <si>
    <t>PP - W</t>
  </si>
  <si>
    <t>PP - Xerox</t>
  </si>
  <si>
    <t>RMR-27000</t>
  </si>
  <si>
    <t>PP- Honey</t>
  </si>
  <si>
    <t>Honey - saruyu</t>
  </si>
  <si>
    <t>Honey -Bus</t>
  </si>
  <si>
    <t>Act</t>
  </si>
  <si>
    <t>Honey -Sarayu</t>
  </si>
  <si>
    <t>PP</t>
  </si>
  <si>
    <t>Honey</t>
  </si>
  <si>
    <t>hyd - Drop</t>
  </si>
  <si>
    <t>Shyam mama-GP</t>
  </si>
  <si>
    <t>Moglappa/PP</t>
  </si>
  <si>
    <t>Tony &amp; guy Tip</t>
  </si>
  <si>
    <t>Durgarao</t>
  </si>
  <si>
    <t>Gali Ravindranath</t>
  </si>
  <si>
    <t>Driver</t>
  </si>
  <si>
    <t>Citizens</t>
  </si>
  <si>
    <t>Car fine</t>
  </si>
  <si>
    <t>lenskart</t>
  </si>
  <si>
    <t>vintra</t>
  </si>
  <si>
    <t>pp</t>
  </si>
  <si>
    <t>ramisetti gopichand pp</t>
  </si>
  <si>
    <t>Nageswararao TDL</t>
  </si>
  <si>
    <t>Recharge</t>
  </si>
  <si>
    <t>neha kumari pp</t>
  </si>
  <si>
    <t>ch ramadevi pp</t>
  </si>
  <si>
    <t xml:space="preserve">madan singh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</si>
</sst>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14" fontId="0" fillId="0" borderId="0" xfId="0" applyNumberFormat="1"/>
    <xf numFmtId="0" fontId="0" fillId="3" borderId="0" xfId="0" applyFill="1"/>
    <xf numFmtId="0" fontId="0" fillId="0" borderId="1" xfId="0" applyBorder="1"/>
    <xf numFmtId="15" fontId="0" fillId="0" borderId="0" xfId="0" applyNumberFormat="1"/>
    <xf numFmtId="0" fontId="0" fillId="3" borderId="1" xfId="0" applyFill="1" applyBorder="1"/>
    <xf numFmtId="0" fontId="0" fillId="4" borderId="1" xfId="0" applyFill="1" applyBorder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95FD0-0306-4D44-B484-CCFA1039CA0B}">
  <dimension ref="A1:T99"/>
  <sheetViews>
    <sheetView tabSelected="1" topLeftCell="A76" workbookViewId="0">
      <selection activeCell="D97" sqref="D97"/>
    </sheetView>
  </sheetViews>
  <sheetFormatPr defaultRowHeight="14.4" x14ac:dyDescent="0.3"/>
  <cols>
    <col min="1" max="1" width="11" customWidth="1"/>
    <col min="2" max="2" width="22.33203125" customWidth="1"/>
    <col min="3" max="3" width="10.88671875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J1" s="1"/>
    </row>
    <row r="2" spans="1:20" x14ac:dyDescent="0.3">
      <c r="J2">
        <v>290000</v>
      </c>
    </row>
    <row r="3" spans="1:20" x14ac:dyDescent="0.3">
      <c r="A3" s="2">
        <v>44678</v>
      </c>
      <c r="B3" t="s">
        <v>6</v>
      </c>
      <c r="C3">
        <v>5</v>
      </c>
      <c r="D3">
        <v>6950</v>
      </c>
      <c r="E3">
        <f>C3*D3</f>
        <v>34750</v>
      </c>
    </row>
    <row r="4" spans="1:20" x14ac:dyDescent="0.3">
      <c r="A4" s="2">
        <v>44702</v>
      </c>
      <c r="B4" t="s">
        <v>6</v>
      </c>
      <c r="C4">
        <v>7</v>
      </c>
      <c r="D4">
        <v>7050</v>
      </c>
      <c r="E4">
        <f>C4*D4</f>
        <v>49350</v>
      </c>
    </row>
    <row r="5" spans="1:20" x14ac:dyDescent="0.3">
      <c r="A5" s="2">
        <v>44687</v>
      </c>
      <c r="B5" t="s">
        <v>6</v>
      </c>
      <c r="C5">
        <v>5</v>
      </c>
      <c r="D5">
        <v>6000</v>
      </c>
      <c r="E5">
        <f>C5*D5</f>
        <v>30000</v>
      </c>
      <c r="F5">
        <f>SUM(E3:E6)</f>
        <v>141100</v>
      </c>
      <c r="G5">
        <f>F5/F6</f>
        <v>6413.636363636364</v>
      </c>
      <c r="L5" s="3" t="s">
        <v>7</v>
      </c>
    </row>
    <row r="6" spans="1:20" x14ac:dyDescent="0.3">
      <c r="A6" s="2">
        <v>44725</v>
      </c>
      <c r="B6" t="s">
        <v>6</v>
      </c>
      <c r="C6">
        <v>5</v>
      </c>
      <c r="D6">
        <v>5400</v>
      </c>
      <c r="E6">
        <f>C6*D6</f>
        <v>27000</v>
      </c>
      <c r="F6">
        <f>SUM(C3:C6)</f>
        <v>22</v>
      </c>
    </row>
    <row r="7" spans="1:20" x14ac:dyDescent="0.3">
      <c r="A7" s="2">
        <v>44676</v>
      </c>
      <c r="B7" t="s">
        <v>8</v>
      </c>
      <c r="C7">
        <v>10</v>
      </c>
      <c r="D7">
        <v>4900</v>
      </c>
      <c r="E7">
        <f t="shared" ref="E7:E8" si="0">C7*D7</f>
        <v>49000</v>
      </c>
      <c r="G7">
        <f>E7/C7</f>
        <v>4900</v>
      </c>
      <c r="L7" t="s">
        <v>9</v>
      </c>
      <c r="M7">
        <v>10</v>
      </c>
      <c r="N7">
        <v>5180</v>
      </c>
      <c r="O7">
        <f>M7*N7</f>
        <v>51800</v>
      </c>
      <c r="Q7">
        <v>10</v>
      </c>
      <c r="R7">
        <v>4900</v>
      </c>
      <c r="S7">
        <f t="shared" ref="S7:S8" si="1">Q7*R7</f>
        <v>49000</v>
      </c>
      <c r="T7" s="3">
        <f>O7-S7</f>
        <v>2800</v>
      </c>
    </row>
    <row r="8" spans="1:20" x14ac:dyDescent="0.3">
      <c r="A8" s="2">
        <v>44686</v>
      </c>
      <c r="B8" t="s">
        <v>10</v>
      </c>
      <c r="C8">
        <v>25</v>
      </c>
      <c r="D8">
        <v>2220</v>
      </c>
      <c r="E8">
        <f t="shared" si="0"/>
        <v>55500</v>
      </c>
      <c r="G8">
        <f>E8/C8</f>
        <v>2220</v>
      </c>
      <c r="L8" t="s">
        <v>11</v>
      </c>
      <c r="M8">
        <v>24</v>
      </c>
      <c r="N8">
        <v>2170</v>
      </c>
      <c r="O8">
        <f>M8*N8</f>
        <v>52080</v>
      </c>
      <c r="Q8">
        <v>24</v>
      </c>
      <c r="R8">
        <v>2220</v>
      </c>
      <c r="S8">
        <f t="shared" si="1"/>
        <v>53280</v>
      </c>
      <c r="T8" s="3">
        <f>O8-S8</f>
        <v>-1200</v>
      </c>
    </row>
    <row r="9" spans="1:20" x14ac:dyDescent="0.3">
      <c r="A9" s="2"/>
      <c r="L9" t="s">
        <v>12</v>
      </c>
      <c r="M9">
        <v>21</v>
      </c>
      <c r="N9">
        <v>7850</v>
      </c>
      <c r="O9">
        <f>M9*N9</f>
        <v>164850</v>
      </c>
      <c r="Q9">
        <v>21</v>
      </c>
      <c r="R9">
        <v>6413</v>
      </c>
      <c r="S9">
        <f>Q9*R9</f>
        <v>134673</v>
      </c>
      <c r="T9" s="3">
        <f>O9-S9</f>
        <v>30177</v>
      </c>
    </row>
    <row r="10" spans="1:20" x14ac:dyDescent="0.3">
      <c r="A10" s="2">
        <v>44712</v>
      </c>
      <c r="B10" t="s">
        <v>13</v>
      </c>
      <c r="J10">
        <v>100000</v>
      </c>
    </row>
    <row r="11" spans="1:20" x14ac:dyDescent="0.3">
      <c r="A11" s="2">
        <v>44795</v>
      </c>
      <c r="B11" t="s">
        <v>14</v>
      </c>
      <c r="J11">
        <v>250000</v>
      </c>
    </row>
    <row r="12" spans="1:20" x14ac:dyDescent="0.3">
      <c r="E12">
        <f>SUM(E1:E8)</f>
        <v>245600</v>
      </c>
      <c r="G12">
        <f>J12-E12</f>
        <v>394400</v>
      </c>
      <c r="J12">
        <f>SUM(J2:J11)</f>
        <v>640000</v>
      </c>
      <c r="O12">
        <f>O7+O8+O9</f>
        <v>268730</v>
      </c>
      <c r="S12">
        <f>S7+S8+S9</f>
        <v>236953</v>
      </c>
      <c r="T12" s="3">
        <f>T7+T8+T9</f>
        <v>31777</v>
      </c>
    </row>
    <row r="13" spans="1:20" x14ac:dyDescent="0.3">
      <c r="L13" t="s">
        <v>15</v>
      </c>
      <c r="O13">
        <v>250000</v>
      </c>
    </row>
    <row r="16" spans="1:20" x14ac:dyDescent="0.3">
      <c r="A16" s="2">
        <v>44881</v>
      </c>
      <c r="B16" s="4" t="s">
        <v>16</v>
      </c>
      <c r="D16">
        <v>3000</v>
      </c>
      <c r="O16">
        <f>O12-O13</f>
        <v>18730</v>
      </c>
    </row>
    <row r="17" spans="1:5" x14ac:dyDescent="0.3">
      <c r="A17" s="2">
        <v>44915</v>
      </c>
      <c r="B17" s="4" t="s">
        <v>17</v>
      </c>
      <c r="D17">
        <v>5000</v>
      </c>
    </row>
    <row r="18" spans="1:5" x14ac:dyDescent="0.3">
      <c r="A18" s="2">
        <v>44926</v>
      </c>
      <c r="B18" s="4" t="s">
        <v>18</v>
      </c>
      <c r="D18">
        <v>2000</v>
      </c>
    </row>
    <row r="19" spans="1:5" x14ac:dyDescent="0.3">
      <c r="A19" s="2">
        <v>44929</v>
      </c>
      <c r="B19" s="4" t="s">
        <v>19</v>
      </c>
      <c r="D19">
        <v>8150</v>
      </c>
    </row>
    <row r="20" spans="1:5" x14ac:dyDescent="0.3">
      <c r="A20" s="2"/>
      <c r="B20" s="4" t="s">
        <v>20</v>
      </c>
      <c r="D20">
        <v>5000</v>
      </c>
    </row>
    <row r="21" spans="1:5" x14ac:dyDescent="0.3">
      <c r="A21" s="2">
        <v>44937</v>
      </c>
      <c r="B21" s="4" t="s">
        <v>16</v>
      </c>
      <c r="D21">
        <v>3000</v>
      </c>
    </row>
    <row r="22" spans="1:5" x14ac:dyDescent="0.3">
      <c r="A22" s="5">
        <v>44966</v>
      </c>
      <c r="B22" s="4" t="s">
        <v>20</v>
      </c>
      <c r="D22">
        <v>550</v>
      </c>
    </row>
    <row r="23" spans="1:5" x14ac:dyDescent="0.3">
      <c r="A23" s="5">
        <v>44966</v>
      </c>
      <c r="B23" s="4" t="s">
        <v>18</v>
      </c>
      <c r="D23">
        <v>2000</v>
      </c>
    </row>
    <row r="24" spans="1:5" x14ac:dyDescent="0.3">
      <c r="A24" s="5">
        <v>45001</v>
      </c>
      <c r="B24" s="4" t="s">
        <v>21</v>
      </c>
      <c r="D24">
        <v>4200</v>
      </c>
    </row>
    <row r="25" spans="1:5" x14ac:dyDescent="0.3">
      <c r="A25" s="5">
        <v>45060</v>
      </c>
      <c r="B25" s="4" t="s">
        <v>18</v>
      </c>
      <c r="D25">
        <v>5000</v>
      </c>
    </row>
    <row r="26" spans="1:5" x14ac:dyDescent="0.3">
      <c r="A26" s="5">
        <v>45117</v>
      </c>
      <c r="B26" s="4" t="s">
        <v>22</v>
      </c>
      <c r="D26">
        <v>3500</v>
      </c>
    </row>
    <row r="27" spans="1:5" x14ac:dyDescent="0.3">
      <c r="A27" s="5">
        <v>45114</v>
      </c>
      <c r="B27" s="4" t="s">
        <v>56</v>
      </c>
      <c r="D27">
        <v>2500</v>
      </c>
      <c r="E27">
        <v>5000</v>
      </c>
    </row>
    <row r="28" spans="1:5" x14ac:dyDescent="0.3">
      <c r="A28" s="5">
        <v>45126</v>
      </c>
      <c r="B28" s="4" t="s">
        <v>23</v>
      </c>
      <c r="D28">
        <v>8660</v>
      </c>
    </row>
    <row r="29" spans="1:5" x14ac:dyDescent="0.3">
      <c r="A29" s="5"/>
      <c r="B29" s="6" t="s">
        <v>24</v>
      </c>
      <c r="E29">
        <v>8000</v>
      </c>
    </row>
    <row r="30" spans="1:5" x14ac:dyDescent="0.3">
      <c r="A30" s="5">
        <v>11202</v>
      </c>
      <c r="B30" s="6" t="s">
        <v>25</v>
      </c>
      <c r="D30">
        <v>45000</v>
      </c>
      <c r="E30" t="s">
        <v>26</v>
      </c>
    </row>
    <row r="31" spans="1:5" x14ac:dyDescent="0.3">
      <c r="A31" s="5"/>
      <c r="B31" s="6" t="s">
        <v>27</v>
      </c>
      <c r="E31">
        <v>11000</v>
      </c>
    </row>
    <row r="32" spans="1:5" x14ac:dyDescent="0.3">
      <c r="A32" s="5">
        <v>45239</v>
      </c>
      <c r="B32" s="7" t="s">
        <v>18</v>
      </c>
      <c r="D32">
        <v>2000</v>
      </c>
    </row>
    <row r="33" spans="1:8" x14ac:dyDescent="0.3">
      <c r="A33" s="5" t="s">
        <v>28</v>
      </c>
      <c r="B33" s="7" t="s">
        <v>29</v>
      </c>
      <c r="D33">
        <v>2500</v>
      </c>
    </row>
    <row r="34" spans="1:8" x14ac:dyDescent="0.3">
      <c r="A34" s="5">
        <v>45301</v>
      </c>
      <c r="B34" s="7" t="s">
        <v>30</v>
      </c>
      <c r="D34">
        <v>1000</v>
      </c>
    </row>
    <row r="35" spans="1:8" x14ac:dyDescent="0.3">
      <c r="A35" s="5">
        <v>45333</v>
      </c>
      <c r="B35" s="7" t="s">
        <v>16</v>
      </c>
      <c r="D35">
        <v>2000</v>
      </c>
    </row>
    <row r="36" spans="1:8" x14ac:dyDescent="0.3">
      <c r="A36" s="5">
        <v>45351</v>
      </c>
      <c r="B36" s="7" t="s">
        <v>18</v>
      </c>
      <c r="D36">
        <v>1000</v>
      </c>
    </row>
    <row r="37" spans="1:8" x14ac:dyDescent="0.3">
      <c r="A37" s="5">
        <v>45010</v>
      </c>
      <c r="B37" s="7" t="s">
        <v>31</v>
      </c>
      <c r="D37">
        <v>2200</v>
      </c>
    </row>
    <row r="38" spans="1:8" x14ac:dyDescent="0.3">
      <c r="A38" s="5">
        <v>45396</v>
      </c>
      <c r="B38" s="7" t="s">
        <v>18</v>
      </c>
      <c r="D38">
        <v>2000</v>
      </c>
    </row>
    <row r="39" spans="1:8" x14ac:dyDescent="0.3">
      <c r="A39" s="5">
        <v>45398</v>
      </c>
      <c r="B39" s="7" t="s">
        <v>32</v>
      </c>
      <c r="D39">
        <v>2500</v>
      </c>
    </row>
    <row r="40" spans="1:8" x14ac:dyDescent="0.3">
      <c r="A40" s="5">
        <v>45412</v>
      </c>
      <c r="B40" s="7" t="s">
        <v>32</v>
      </c>
      <c r="D40">
        <v>3000</v>
      </c>
    </row>
    <row r="41" spans="1:8" x14ac:dyDescent="0.3">
      <c r="A41" s="5">
        <v>45438</v>
      </c>
      <c r="B41" s="7" t="s">
        <v>33</v>
      </c>
      <c r="D41">
        <v>2440</v>
      </c>
    </row>
    <row r="42" spans="1:8" x14ac:dyDescent="0.3">
      <c r="A42" s="5">
        <v>45439</v>
      </c>
      <c r="B42" s="7" t="s">
        <v>34</v>
      </c>
      <c r="D42">
        <v>1500</v>
      </c>
    </row>
    <row r="43" spans="1:8" x14ac:dyDescent="0.3">
      <c r="A43" s="5">
        <v>45461</v>
      </c>
      <c r="B43" s="7" t="s">
        <v>35</v>
      </c>
      <c r="D43">
        <v>5000</v>
      </c>
    </row>
    <row r="44" spans="1:8" x14ac:dyDescent="0.3">
      <c r="A44" s="5">
        <v>45463</v>
      </c>
      <c r="B44" s="7" t="s">
        <v>36</v>
      </c>
      <c r="D44">
        <v>250</v>
      </c>
      <c r="H44" t="s">
        <v>37</v>
      </c>
    </row>
    <row r="45" spans="1:8" x14ac:dyDescent="0.3">
      <c r="A45" s="5">
        <v>45462</v>
      </c>
      <c r="B45" s="7" t="s">
        <v>38</v>
      </c>
      <c r="D45">
        <v>110</v>
      </c>
    </row>
    <row r="46" spans="1:8" x14ac:dyDescent="0.3">
      <c r="A46" s="5">
        <v>45463</v>
      </c>
      <c r="B46" s="7" t="s">
        <v>38</v>
      </c>
      <c r="D46">
        <v>20</v>
      </c>
    </row>
    <row r="47" spans="1:8" x14ac:dyDescent="0.3">
      <c r="A47" s="5">
        <v>45462</v>
      </c>
      <c r="B47" s="7" t="s">
        <v>39</v>
      </c>
      <c r="D47">
        <v>1450</v>
      </c>
    </row>
    <row r="48" spans="1:8" x14ac:dyDescent="0.3">
      <c r="A48" s="5">
        <v>45465</v>
      </c>
      <c r="B48" s="7" t="s">
        <v>40</v>
      </c>
      <c r="D48">
        <v>400</v>
      </c>
    </row>
    <row r="49" spans="1:7" x14ac:dyDescent="0.3">
      <c r="A49" s="5">
        <v>45465</v>
      </c>
      <c r="B49" s="7" t="s">
        <v>41</v>
      </c>
      <c r="D49">
        <v>1400</v>
      </c>
    </row>
    <row r="50" spans="1:7" x14ac:dyDescent="0.3">
      <c r="A50" s="5">
        <v>45468</v>
      </c>
      <c r="B50" s="7" t="s">
        <v>42</v>
      </c>
      <c r="D50">
        <v>2200</v>
      </c>
    </row>
    <row r="51" spans="1:7" x14ac:dyDescent="0.3">
      <c r="A51" s="5">
        <v>45466</v>
      </c>
      <c r="B51" s="7" t="s">
        <v>43</v>
      </c>
      <c r="D51">
        <v>1800</v>
      </c>
    </row>
    <row r="52" spans="1:7" x14ac:dyDescent="0.3">
      <c r="A52" s="5">
        <v>45473</v>
      </c>
      <c r="B52" s="7" t="s">
        <v>16</v>
      </c>
      <c r="D52">
        <v>2000</v>
      </c>
    </row>
    <row r="53" spans="1:7" x14ac:dyDescent="0.3">
      <c r="A53" s="5">
        <v>45475</v>
      </c>
      <c r="B53" s="7" t="s">
        <v>44</v>
      </c>
      <c r="D53">
        <v>5000</v>
      </c>
    </row>
    <row r="54" spans="1:7" x14ac:dyDescent="0.3">
      <c r="A54" s="5">
        <v>45474</v>
      </c>
      <c r="B54" s="7" t="s">
        <v>45</v>
      </c>
      <c r="D54">
        <v>700</v>
      </c>
    </row>
    <row r="55" spans="1:7" x14ac:dyDescent="0.3">
      <c r="A55" s="5">
        <v>45480</v>
      </c>
      <c r="B55" s="7" t="s">
        <v>46</v>
      </c>
      <c r="D55">
        <v>760</v>
      </c>
    </row>
    <row r="56" spans="1:7" x14ac:dyDescent="0.3">
      <c r="A56" s="5">
        <v>45480</v>
      </c>
      <c r="B56" s="7" t="s">
        <v>47</v>
      </c>
      <c r="D56">
        <v>60</v>
      </c>
    </row>
    <row r="57" spans="1:7" x14ac:dyDescent="0.3">
      <c r="A57" s="5">
        <v>45483</v>
      </c>
      <c r="B57" s="7" t="s">
        <v>37</v>
      </c>
      <c r="D57">
        <v>63000</v>
      </c>
    </row>
    <row r="58" spans="1:7" x14ac:dyDescent="0.3">
      <c r="A58" s="5">
        <v>45484</v>
      </c>
      <c r="B58" s="7" t="s">
        <v>57</v>
      </c>
      <c r="D58">
        <v>23000</v>
      </c>
      <c r="F58">
        <v>50000</v>
      </c>
      <c r="G58" t="s">
        <v>48</v>
      </c>
    </row>
    <row r="59" spans="1:7" x14ac:dyDescent="0.3">
      <c r="A59" s="5">
        <v>45485</v>
      </c>
      <c r="B59" s="7" t="s">
        <v>49</v>
      </c>
      <c r="D59">
        <v>400</v>
      </c>
    </row>
    <row r="60" spans="1:7" x14ac:dyDescent="0.3">
      <c r="A60" s="5">
        <v>45485</v>
      </c>
      <c r="B60" s="7" t="s">
        <v>16</v>
      </c>
      <c r="D60">
        <v>2000</v>
      </c>
    </row>
    <row r="61" spans="1:7" x14ac:dyDescent="0.3">
      <c r="A61" s="5">
        <v>45511</v>
      </c>
      <c r="B61" s="7" t="s">
        <v>16</v>
      </c>
      <c r="D61">
        <v>1500</v>
      </c>
    </row>
    <row r="62" spans="1:7" x14ac:dyDescent="0.3">
      <c r="A62" s="5">
        <v>45548</v>
      </c>
      <c r="B62" s="7" t="s">
        <v>16</v>
      </c>
      <c r="D62">
        <v>1000</v>
      </c>
    </row>
    <row r="63" spans="1:7" x14ac:dyDescent="0.3">
      <c r="A63" s="5">
        <v>45576</v>
      </c>
      <c r="B63" s="7" t="s">
        <v>50</v>
      </c>
      <c r="D63">
        <v>1000</v>
      </c>
    </row>
    <row r="64" spans="1:7" x14ac:dyDescent="0.3">
      <c r="A64" s="5">
        <v>45584</v>
      </c>
      <c r="B64" s="7" t="s">
        <v>51</v>
      </c>
      <c r="D64">
        <v>450</v>
      </c>
    </row>
    <row r="65" spans="1:4" x14ac:dyDescent="0.3">
      <c r="A65" s="5">
        <v>45585</v>
      </c>
      <c r="B65" s="7" t="s">
        <v>59</v>
      </c>
      <c r="D65">
        <v>500</v>
      </c>
    </row>
    <row r="66" spans="1:4" x14ac:dyDescent="0.3">
      <c r="A66" s="5">
        <v>45586</v>
      </c>
      <c r="B66" s="7" t="s">
        <v>16</v>
      </c>
      <c r="D66">
        <v>2000</v>
      </c>
    </row>
    <row r="67" spans="1:4" x14ac:dyDescent="0.3">
      <c r="A67" s="5">
        <v>45589</v>
      </c>
      <c r="B67" s="7" t="s">
        <v>52</v>
      </c>
      <c r="D67">
        <v>557</v>
      </c>
    </row>
    <row r="68" spans="1:4" x14ac:dyDescent="0.3">
      <c r="A68" s="5">
        <v>45591</v>
      </c>
      <c r="B68" s="7" t="s">
        <v>53</v>
      </c>
      <c r="D68">
        <v>1000</v>
      </c>
    </row>
    <row r="69" spans="1:4" x14ac:dyDescent="0.3">
      <c r="A69" s="5">
        <v>45591</v>
      </c>
      <c r="B69" s="7" t="s">
        <v>54</v>
      </c>
      <c r="D69">
        <v>100</v>
      </c>
    </row>
    <row r="70" spans="1:4" x14ac:dyDescent="0.3">
      <c r="A70" s="5">
        <v>45598</v>
      </c>
      <c r="B70" s="7" t="s">
        <v>21</v>
      </c>
      <c r="D70">
        <v>850</v>
      </c>
    </row>
    <row r="71" spans="1:4" x14ac:dyDescent="0.3">
      <c r="A71" s="5">
        <v>45599</v>
      </c>
      <c r="B71" s="7" t="s">
        <v>55</v>
      </c>
      <c r="D71">
        <v>1200</v>
      </c>
    </row>
    <row r="72" spans="1:4" x14ac:dyDescent="0.3">
      <c r="A72" s="5">
        <v>45602</v>
      </c>
      <c r="B72" s="7" t="s">
        <v>58</v>
      </c>
      <c r="D72">
        <v>1000</v>
      </c>
    </row>
    <row r="73" spans="1:4" x14ac:dyDescent="0.3">
      <c r="A73" s="5">
        <v>45612</v>
      </c>
      <c r="B73" s="4" t="s">
        <v>16</v>
      </c>
      <c r="D73">
        <v>2000</v>
      </c>
    </row>
    <row r="74" spans="1:4" x14ac:dyDescent="0.3">
      <c r="A74" s="5">
        <v>45626</v>
      </c>
      <c r="B74" s="7" t="s">
        <v>60</v>
      </c>
      <c r="D74">
        <v>560</v>
      </c>
    </row>
    <row r="75" spans="1:4" x14ac:dyDescent="0.3">
      <c r="A75" s="5">
        <v>45643</v>
      </c>
      <c r="B75" s="7" t="s">
        <v>61</v>
      </c>
      <c r="D75">
        <v>5000</v>
      </c>
    </row>
    <row r="76" spans="1:4" x14ac:dyDescent="0.3">
      <c r="A76" s="5">
        <v>45688</v>
      </c>
      <c r="B76" s="7" t="s">
        <v>16</v>
      </c>
      <c r="D76">
        <v>2000</v>
      </c>
    </row>
    <row r="77" spans="1:4" x14ac:dyDescent="0.3">
      <c r="A77" s="5">
        <v>45730</v>
      </c>
      <c r="B77" s="7" t="s">
        <v>16</v>
      </c>
      <c r="D77">
        <v>2000</v>
      </c>
    </row>
    <row r="78" spans="1:4" x14ac:dyDescent="0.3">
      <c r="A78" s="5">
        <v>45740</v>
      </c>
      <c r="B78" s="7" t="s">
        <v>16</v>
      </c>
      <c r="D78">
        <v>2000</v>
      </c>
    </row>
    <row r="79" spans="1:4" x14ac:dyDescent="0.3">
      <c r="A79" s="5">
        <v>45758</v>
      </c>
      <c r="B79" s="7" t="s">
        <v>16</v>
      </c>
      <c r="D79">
        <v>1000</v>
      </c>
    </row>
    <row r="80" spans="1:4" x14ac:dyDescent="0.3">
      <c r="A80" s="5">
        <v>45758</v>
      </c>
      <c r="B80" s="7" t="s">
        <v>62</v>
      </c>
      <c r="D80">
        <v>750</v>
      </c>
    </row>
    <row r="81" spans="1:4" x14ac:dyDescent="0.3">
      <c r="A81" s="5">
        <v>45772</v>
      </c>
      <c r="B81" s="7" t="s">
        <v>63</v>
      </c>
      <c r="D81">
        <v>800</v>
      </c>
    </row>
    <row r="82" spans="1:4" x14ac:dyDescent="0.3">
      <c r="A82" s="5">
        <v>45774</v>
      </c>
      <c r="B82" s="7" t="s">
        <v>67</v>
      </c>
      <c r="D82">
        <v>100</v>
      </c>
    </row>
    <row r="83" spans="1:4" x14ac:dyDescent="0.3">
      <c r="A83" s="5">
        <v>45783</v>
      </c>
      <c r="B83" s="7" t="s">
        <v>16</v>
      </c>
      <c r="D83">
        <v>1000</v>
      </c>
    </row>
    <row r="84" spans="1:4" ht="13.8" customHeight="1" x14ac:dyDescent="0.3">
      <c r="A84" s="5">
        <v>45774</v>
      </c>
      <c r="B84" s="7" t="s">
        <v>54</v>
      </c>
      <c r="D84">
        <v>200</v>
      </c>
    </row>
    <row r="85" spans="1:4" ht="13.8" customHeight="1" x14ac:dyDescent="0.3">
      <c r="A85" s="5">
        <v>45790</v>
      </c>
      <c r="B85" s="7" t="s">
        <v>16</v>
      </c>
      <c r="D85">
        <v>2000</v>
      </c>
    </row>
    <row r="86" spans="1:4" x14ac:dyDescent="0.3">
      <c r="A86" s="5">
        <v>45787</v>
      </c>
      <c r="B86" s="7" t="s">
        <v>64</v>
      </c>
      <c r="D86">
        <v>1350</v>
      </c>
    </row>
    <row r="87" spans="1:4" x14ac:dyDescent="0.3">
      <c r="A87" s="5">
        <v>45787</v>
      </c>
      <c r="B87" s="7" t="s">
        <v>68</v>
      </c>
      <c r="D87">
        <v>8000</v>
      </c>
    </row>
    <row r="88" spans="1:4" x14ac:dyDescent="0.3">
      <c r="A88" s="5">
        <v>45810</v>
      </c>
      <c r="B88" s="7" t="s">
        <v>18</v>
      </c>
      <c r="D88">
        <v>2000</v>
      </c>
    </row>
    <row r="89" spans="1:4" x14ac:dyDescent="0.3">
      <c r="A89" s="5">
        <v>45826</v>
      </c>
      <c r="B89" s="7" t="s">
        <v>65</v>
      </c>
      <c r="D89">
        <v>2200</v>
      </c>
    </row>
    <row r="90" spans="1:4" x14ac:dyDescent="0.3">
      <c r="A90" s="5">
        <v>45826</v>
      </c>
      <c r="B90" s="7" t="s">
        <v>66</v>
      </c>
      <c r="D90">
        <v>3000</v>
      </c>
    </row>
    <row r="91" spans="1:4" x14ac:dyDescent="0.3">
      <c r="A91" s="5">
        <v>45850</v>
      </c>
      <c r="B91" s="7" t="s">
        <v>18</v>
      </c>
      <c r="D91">
        <v>2000</v>
      </c>
    </row>
    <row r="92" spans="1:4" x14ac:dyDescent="0.3">
      <c r="A92" s="5">
        <v>45883</v>
      </c>
      <c r="B92" s="7" t="s">
        <v>18</v>
      </c>
      <c r="D92">
        <v>2000</v>
      </c>
    </row>
    <row r="93" spans="1:4" x14ac:dyDescent="0.3">
      <c r="A93" s="5">
        <v>45905</v>
      </c>
      <c r="B93" s="7" t="s">
        <v>69</v>
      </c>
      <c r="D93">
        <v>3000</v>
      </c>
    </row>
    <row r="94" spans="1:4" x14ac:dyDescent="0.3">
      <c r="A94" s="5">
        <v>45922</v>
      </c>
      <c r="B94" s="7" t="s">
        <v>70</v>
      </c>
      <c r="D94">
        <v>200</v>
      </c>
    </row>
    <row r="95" spans="1:4" x14ac:dyDescent="0.3">
      <c r="A95" s="5">
        <v>45941</v>
      </c>
      <c r="B95" s="7" t="s">
        <v>71</v>
      </c>
      <c r="D95">
        <v>999</v>
      </c>
    </row>
    <row r="96" spans="1:4" x14ac:dyDescent="0.3">
      <c r="A96" s="5">
        <v>45948</v>
      </c>
      <c r="B96" s="7" t="s">
        <v>72</v>
      </c>
      <c r="D96">
        <v>9325</v>
      </c>
    </row>
    <row r="97" spans="1:11" x14ac:dyDescent="0.3">
      <c r="A97" s="5">
        <v>45954</v>
      </c>
      <c r="B97" s="7" t="s">
        <v>73</v>
      </c>
      <c r="D97">
        <v>100000</v>
      </c>
    </row>
    <row r="98" spans="1:11" x14ac:dyDescent="0.3">
      <c r="A98" s="5"/>
      <c r="B98" s="7"/>
    </row>
    <row r="99" spans="1:11" x14ac:dyDescent="0.3">
      <c r="B99" s="4"/>
      <c r="D99">
        <f>SUM(D16:D97)</f>
        <v>393891</v>
      </c>
      <c r="G99" s="8">
        <f>(G12-D99)</f>
        <v>509</v>
      </c>
      <c r="K99" s="8">
        <f>G99+H99</f>
        <v>509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Kumar, Ajay</dc:creator>
  <cp:lastModifiedBy>Kumar, Ajay</cp:lastModifiedBy>
  <dcterms:created xsi:type="dcterms:W3CDTF">2024-10-27T06:51:06Z</dcterms:created>
  <dcterms:modified xsi:type="dcterms:W3CDTF">2025-11-03T07:18:01Z</dcterms:modified>
</cp:coreProperties>
</file>