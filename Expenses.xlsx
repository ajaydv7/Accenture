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.kumar.pandaga\Desktop\payslips\"/>
    </mc:Choice>
  </mc:AlternateContent>
  <xr:revisionPtr revIDLastSave="0" documentId="13_ncr:1_{6361E6A3-80E5-468E-B65E-C583F08E772B}" xr6:coauthVersionLast="47" xr6:coauthVersionMax="47" xr10:uidLastSave="{00000000-0000-0000-0000-000000000000}"/>
  <bookViews>
    <workbookView xWindow="-108" yWindow="-108" windowWidth="23256" windowHeight="12456" activeTab="1" xr2:uid="{3B0D0358-0D31-4CDF-B14C-F546BEC252A0}"/>
  </bookViews>
  <sheets>
    <sheet name="Sheet1" sheetId="1" r:id="rId1"/>
    <sheet name="Vinod Shares" sheetId="4" r:id="rId2"/>
    <sheet name="Names" sheetId="12" r:id="rId3"/>
    <sheet name="Ajay Shares" sheetId="5" r:id="rId4"/>
    <sheet name="Debt" sheetId="8" r:id="rId5"/>
    <sheet name="Sheet2" sheetId="2" r:id="rId6"/>
    <sheet name="Sheet3" sheetId="3" r:id="rId7"/>
    <sheet name="Ravi Mamu" sheetId="10" r:id="rId8"/>
    <sheet name="Mrg" sheetId="11" r:id="rId9"/>
  </sheets>
  <definedNames>
    <definedName name="_xlnm._FilterDatabase" localSheetId="8" hidden="1">Mrg!$A$2:$E$59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9" i="4" l="1"/>
  <c r="M9" i="8"/>
  <c r="C45" i="8"/>
  <c r="B45" i="8"/>
  <c r="E45" i="8" s="1"/>
  <c r="D49" i="10"/>
  <c r="D46" i="10"/>
  <c r="B63" i="11"/>
  <c r="B46" i="10"/>
  <c r="B7" i="10"/>
  <c r="S7" i="4"/>
  <c r="S8" i="4"/>
  <c r="S9" i="4"/>
  <c r="O9" i="4"/>
  <c r="O8" i="4"/>
  <c r="O7" i="4"/>
  <c r="F23" i="5"/>
  <c r="F6" i="5"/>
  <c r="F34" i="5"/>
  <c r="F33" i="5"/>
  <c r="F24" i="5"/>
  <c r="F16" i="5"/>
  <c r="J16" i="5" s="1"/>
  <c r="C24" i="8"/>
  <c r="F8" i="8"/>
  <c r="D8" i="8"/>
  <c r="F17" i="5"/>
  <c r="J12" i="4"/>
  <c r="F15" i="5"/>
  <c r="C37" i="5"/>
  <c r="F6" i="4"/>
  <c r="F32" i="5"/>
  <c r="J32" i="5" s="1"/>
  <c r="F35" i="5"/>
  <c r="J35" i="5" s="1"/>
  <c r="J12" i="5"/>
  <c r="J11" i="5"/>
  <c r="F12" i="5"/>
  <c r="F13" i="5"/>
  <c r="J13" i="5" s="1"/>
  <c r="F14" i="5"/>
  <c r="F11" i="5"/>
  <c r="E6" i="4"/>
  <c r="F7" i="5"/>
  <c r="J7" i="5" s="1"/>
  <c r="F5" i="5"/>
  <c r="F4" i="5"/>
  <c r="F3" i="5"/>
  <c r="E5" i="4"/>
  <c r="E7" i="4"/>
  <c r="G7" i="4" s="1"/>
  <c r="E8" i="4"/>
  <c r="G8" i="4" s="1"/>
  <c r="E4" i="4"/>
  <c r="E3" i="4"/>
  <c r="E22" i="3"/>
  <c r="E36" i="1"/>
  <c r="F34" i="1"/>
  <c r="E10" i="2"/>
  <c r="S12" i="4" l="1"/>
  <c r="T7" i="4"/>
  <c r="T8" i="4"/>
  <c r="O12" i="4"/>
  <c r="O16" i="4" s="1"/>
  <c r="F5" i="4"/>
  <c r="T9" i="4"/>
  <c r="G8" i="8"/>
  <c r="J8" i="8" s="1"/>
  <c r="J15" i="5"/>
  <c r="I4" i="5"/>
  <c r="J4" i="5" s="1"/>
  <c r="F29" i="5"/>
  <c r="F36" i="5"/>
  <c r="F18" i="5"/>
  <c r="F26" i="5"/>
  <c r="F9" i="5"/>
  <c r="E12" i="4"/>
  <c r="T12" i="4" l="1"/>
  <c r="M2" i="5"/>
  <c r="G12" i="4"/>
  <c r="G69" i="4" s="1"/>
  <c r="K69" i="4" s="1"/>
  <c r="G5" i="4"/>
</calcChain>
</file>

<file path=xl/sharedStrings.xml><?xml version="1.0" encoding="utf-8"?>
<sst xmlns="http://schemas.openxmlformats.org/spreadsheetml/2006/main" count="349" uniqueCount="286">
  <si>
    <t>SP Latha</t>
  </si>
  <si>
    <t>HDFC</t>
  </si>
  <si>
    <t>Rajendra kumar</t>
  </si>
  <si>
    <t>axis</t>
  </si>
  <si>
    <t>krishna</t>
  </si>
  <si>
    <t>sbi</t>
  </si>
  <si>
    <t>Mani kumar</t>
  </si>
  <si>
    <t>papa Rao</t>
  </si>
  <si>
    <t>Dhana Laxmi</t>
  </si>
  <si>
    <t>sujatha</t>
  </si>
  <si>
    <t>union</t>
  </si>
  <si>
    <t>Hanumatha Rao</t>
  </si>
  <si>
    <t>Koteswaramma</t>
  </si>
  <si>
    <t>indian</t>
  </si>
  <si>
    <t>Indian</t>
  </si>
  <si>
    <t>Ashok Kumar</t>
  </si>
  <si>
    <t>Manish D mishra</t>
  </si>
  <si>
    <t>SBI</t>
  </si>
  <si>
    <t xml:space="preserve">Dilip Kumar Mishra </t>
  </si>
  <si>
    <t>Ajay Kumar sharma</t>
  </si>
  <si>
    <t xml:space="preserve">surendra </t>
  </si>
  <si>
    <t>Thalluri Rajesh</t>
  </si>
  <si>
    <t>venkateswarulu</t>
  </si>
  <si>
    <t>Chanda Jha</t>
  </si>
  <si>
    <t>Grand Ma(Hosptial)</t>
  </si>
  <si>
    <t xml:space="preserve">ANDB </t>
  </si>
  <si>
    <t>Transfer</t>
  </si>
  <si>
    <t xml:space="preserve">At Home </t>
  </si>
  <si>
    <t>Naveen Babai</t>
  </si>
  <si>
    <t>Expenses</t>
  </si>
  <si>
    <t>Ravi Mamu</t>
  </si>
  <si>
    <t xml:space="preserve">sent to Latha-Vijayawada </t>
  </si>
  <si>
    <t>Grand Father</t>
  </si>
  <si>
    <t xml:space="preserve">Registration </t>
  </si>
  <si>
    <t xml:space="preserve">satti </t>
  </si>
  <si>
    <t xml:space="preserve">Rao's sister </t>
  </si>
  <si>
    <t>KMM</t>
  </si>
  <si>
    <t xml:space="preserve">Rao's </t>
  </si>
  <si>
    <t>Vijaya GM</t>
  </si>
  <si>
    <t>TDL</t>
  </si>
  <si>
    <t>Grand Ma</t>
  </si>
  <si>
    <t>HDFC account</t>
  </si>
  <si>
    <t>Vatsavai</t>
  </si>
  <si>
    <t>given to Rambabu</t>
  </si>
  <si>
    <t>Bajaj</t>
  </si>
  <si>
    <t>LTI</t>
  </si>
  <si>
    <t>Deepakntr</t>
  </si>
  <si>
    <t>At Tpally</t>
  </si>
  <si>
    <t>Ajay</t>
  </si>
  <si>
    <t>at Tpally</t>
  </si>
  <si>
    <t>Banking</t>
  </si>
  <si>
    <t>Date</t>
  </si>
  <si>
    <t>company</t>
  </si>
  <si>
    <t>Price</t>
  </si>
  <si>
    <t>No of shares</t>
  </si>
  <si>
    <t>total</t>
  </si>
  <si>
    <t>ICICI</t>
  </si>
  <si>
    <t>Chemical</t>
  </si>
  <si>
    <t>DeppakNI</t>
  </si>
  <si>
    <t>Asainpaints</t>
  </si>
  <si>
    <t>Alakamyne</t>
  </si>
  <si>
    <t>pidilite</t>
  </si>
  <si>
    <t>BergerPaints</t>
  </si>
  <si>
    <t>IT</t>
  </si>
  <si>
    <t>AVG</t>
  </si>
  <si>
    <t>Company</t>
  </si>
  <si>
    <t xml:space="preserve">price </t>
  </si>
  <si>
    <t>other</t>
  </si>
  <si>
    <t>Relaxo</t>
  </si>
  <si>
    <t>IEX</t>
  </si>
  <si>
    <t>Total</t>
  </si>
  <si>
    <t>Auto</t>
  </si>
  <si>
    <t>ajay/shekar</t>
  </si>
  <si>
    <t>vijayawada</t>
  </si>
  <si>
    <t>shekar - vjw</t>
  </si>
  <si>
    <t>fineorg</t>
  </si>
  <si>
    <t>Tataelaxi</t>
  </si>
  <si>
    <t>Paushakltd</t>
  </si>
  <si>
    <t>amount</t>
  </si>
  <si>
    <t>bus ticket</t>
  </si>
  <si>
    <t>college</t>
  </si>
  <si>
    <t>flight</t>
  </si>
  <si>
    <t>given</t>
  </si>
  <si>
    <t>Rajaak</t>
  </si>
  <si>
    <t>span</t>
  </si>
  <si>
    <t>anusha</t>
  </si>
  <si>
    <t>varapasad</t>
  </si>
  <si>
    <t>PP</t>
  </si>
  <si>
    <t>Card</t>
  </si>
  <si>
    <t>Fastag</t>
  </si>
  <si>
    <t xml:space="preserve">Sai </t>
  </si>
  <si>
    <r>
      <rPr>
        <sz val="11"/>
        <color rgb="FFFF0000"/>
        <rFont val="Calibri"/>
        <family val="2"/>
        <scheme val="minor"/>
      </rPr>
      <t>5000</t>
    </r>
    <r>
      <rPr>
        <sz val="11"/>
        <color theme="1"/>
        <rFont val="Calibri"/>
        <family val="2"/>
        <scheme val="minor"/>
      </rPr>
      <t>(Dasara Donation)</t>
    </r>
  </si>
  <si>
    <t xml:space="preserve">Madhu </t>
  </si>
  <si>
    <t>car fine paid</t>
  </si>
  <si>
    <t>Sharad</t>
  </si>
  <si>
    <t>RMR (vallabhi Ajay)</t>
  </si>
  <si>
    <t>fastag</t>
  </si>
  <si>
    <t>Phonepe</t>
  </si>
  <si>
    <t>varanasi</t>
  </si>
  <si>
    <t>titan</t>
  </si>
  <si>
    <t>Astral</t>
  </si>
  <si>
    <t>AU</t>
  </si>
  <si>
    <t>ltIM</t>
  </si>
  <si>
    <t>university</t>
  </si>
  <si>
    <t>charan</t>
  </si>
  <si>
    <t xml:space="preserve">ICICI Check </t>
  </si>
  <si>
    <t>lathu/PP</t>
  </si>
  <si>
    <t>LTIM</t>
  </si>
  <si>
    <t>DEEPAK</t>
  </si>
  <si>
    <t>BAJAJFIN</t>
  </si>
  <si>
    <t>cash</t>
  </si>
  <si>
    <t>tyres</t>
  </si>
  <si>
    <t>phopepe</t>
  </si>
  <si>
    <t>china karma(grocerry)</t>
  </si>
  <si>
    <t>curd</t>
  </si>
  <si>
    <t xml:space="preserve">prasad phonepe </t>
  </si>
  <si>
    <t>prasad</t>
  </si>
  <si>
    <t>phonepe</t>
  </si>
  <si>
    <t>chintu</t>
  </si>
  <si>
    <t>babai</t>
  </si>
  <si>
    <t>gas cylinders</t>
  </si>
  <si>
    <t>veg+gorcery+pooja+sweets</t>
  </si>
  <si>
    <t>Flower decaraters</t>
  </si>
  <si>
    <t>mirchi</t>
  </si>
  <si>
    <t>lemons</t>
  </si>
  <si>
    <t>upma+early curd</t>
  </si>
  <si>
    <t>kapti paps</t>
  </si>
  <si>
    <t>suppliers</t>
  </si>
  <si>
    <t>sweets+Hosp</t>
  </si>
  <si>
    <t>tent + beta</t>
  </si>
  <si>
    <t>cards</t>
  </si>
  <si>
    <t>poojari</t>
  </si>
  <si>
    <t>cook</t>
  </si>
  <si>
    <t>sand</t>
  </si>
  <si>
    <t>podina+kottimeera</t>
  </si>
  <si>
    <t>mangos+capsicum+carret</t>
  </si>
  <si>
    <t>50's/10's</t>
  </si>
  <si>
    <t>SOLD</t>
  </si>
  <si>
    <t>Car Rent</t>
  </si>
  <si>
    <t>Uppalamma Grocery</t>
  </si>
  <si>
    <t>lorry</t>
  </si>
  <si>
    <t>nana</t>
  </si>
  <si>
    <t>Darelli Nageswara Rao</t>
  </si>
  <si>
    <t>sweets</t>
  </si>
  <si>
    <t>decoration advance</t>
  </si>
  <si>
    <t>Fuel vijayawada</t>
  </si>
  <si>
    <t>sannai-advance</t>
  </si>
  <si>
    <t>vanta saidulu</t>
  </si>
  <si>
    <t>sarees</t>
  </si>
  <si>
    <t>shoping expenses</t>
  </si>
  <si>
    <t>amma saree</t>
  </si>
  <si>
    <t>flowers</t>
  </si>
  <si>
    <t>mutton updender</t>
  </si>
  <si>
    <t>bajaru krishna prasad</t>
  </si>
  <si>
    <t>kalaka arun kumar</t>
  </si>
  <si>
    <t>power bill</t>
  </si>
  <si>
    <t>kmm cloths</t>
  </si>
  <si>
    <t>kalyani</t>
  </si>
  <si>
    <t>poish</t>
  </si>
  <si>
    <t>gold ring</t>
  </si>
  <si>
    <t>HYD</t>
  </si>
  <si>
    <t>Fuel/fasttag</t>
  </si>
  <si>
    <t>food</t>
  </si>
  <si>
    <t>mebaz</t>
  </si>
  <si>
    <t>suite</t>
  </si>
  <si>
    <t>koti</t>
  </si>
  <si>
    <t>shoes+tiffens</t>
  </si>
  <si>
    <t xml:space="preserve">cap+ </t>
  </si>
  <si>
    <t>AMB-red</t>
  </si>
  <si>
    <t>yellow</t>
  </si>
  <si>
    <t>3 shirts</t>
  </si>
  <si>
    <t>us polo</t>
  </si>
  <si>
    <t>lifestyle</t>
  </si>
  <si>
    <t>lathu gas</t>
  </si>
  <si>
    <t>order</t>
  </si>
  <si>
    <t>shoot</t>
  </si>
  <si>
    <t>shekar mama</t>
  </si>
  <si>
    <t xml:space="preserve">cab </t>
  </si>
  <si>
    <t>resort</t>
  </si>
  <si>
    <t>withdraw</t>
  </si>
  <si>
    <t>himanth</t>
  </si>
  <si>
    <t>indian terrain</t>
  </si>
  <si>
    <t>paints</t>
  </si>
  <si>
    <t>Rice</t>
  </si>
  <si>
    <t>jockey</t>
  </si>
  <si>
    <t>shoes</t>
  </si>
  <si>
    <t>Habib</t>
  </si>
  <si>
    <t>durga</t>
  </si>
  <si>
    <t>jilebi</t>
  </si>
  <si>
    <t>bavagaru</t>
  </si>
  <si>
    <t xml:space="preserve">driver </t>
  </si>
  <si>
    <t>mabaz</t>
  </si>
  <si>
    <t>cloths balance</t>
  </si>
  <si>
    <t>Radha krishna- PP</t>
  </si>
  <si>
    <t>hyd - fuel</t>
  </si>
  <si>
    <t>trasfered to Lathu</t>
  </si>
  <si>
    <t>bendi+dosakaya</t>
  </si>
  <si>
    <t>milk</t>
  </si>
  <si>
    <t>veg(tomato)+fuel(chinna karma)</t>
  </si>
  <si>
    <t>ox</t>
  </si>
  <si>
    <t>sorakaya+drumsticks+gongura</t>
  </si>
  <si>
    <t>Srinu Thata-balance</t>
  </si>
  <si>
    <t>Honey - SAT exam fee</t>
  </si>
  <si>
    <t xml:space="preserve">intlo </t>
  </si>
  <si>
    <t>Sai</t>
  </si>
  <si>
    <t>grand fa-crackers</t>
  </si>
  <si>
    <t>chinni</t>
  </si>
  <si>
    <t>Ravi</t>
  </si>
  <si>
    <t>bro in law - mangalagiri</t>
  </si>
  <si>
    <t>iphone</t>
  </si>
  <si>
    <t>akka</t>
  </si>
  <si>
    <t>vinod manu</t>
  </si>
  <si>
    <t>23/23/25-aug</t>
  </si>
  <si>
    <t>shoes+phonepe</t>
  </si>
  <si>
    <t>bava</t>
  </si>
  <si>
    <t>mamu</t>
  </si>
  <si>
    <t xml:space="preserve">cc </t>
  </si>
  <si>
    <t>gopi</t>
  </si>
  <si>
    <t>sai</t>
  </si>
  <si>
    <t>salary</t>
  </si>
  <si>
    <t>50k - return</t>
  </si>
  <si>
    <t>30-12-23</t>
  </si>
  <si>
    <t>amaranath KMM PP</t>
  </si>
  <si>
    <t>room</t>
  </si>
  <si>
    <t>vemula pandu PP</t>
  </si>
  <si>
    <t>ipmat exam fee</t>
  </si>
  <si>
    <t>Uma devi accountant</t>
  </si>
  <si>
    <t>car cover</t>
  </si>
  <si>
    <t>laptop</t>
  </si>
  <si>
    <t>kiran akka</t>
  </si>
  <si>
    <t>Phonepe -courier</t>
  </si>
  <si>
    <t>phone-Flex</t>
  </si>
  <si>
    <t>Phone Pe- Flowers</t>
  </si>
  <si>
    <t>phone Pe - Shampoo</t>
  </si>
  <si>
    <t>phone Pe- wine</t>
  </si>
  <si>
    <t>PP - Packer and movers</t>
  </si>
  <si>
    <t>PP- G</t>
  </si>
  <si>
    <t>PP - W</t>
  </si>
  <si>
    <t>phonepe -Kmm</t>
  </si>
  <si>
    <t>phonepe - scan lathu</t>
  </si>
  <si>
    <t>PP - Xerox</t>
  </si>
  <si>
    <t>Shyam mama</t>
  </si>
  <si>
    <t>RMR-27000</t>
  </si>
  <si>
    <t>PP- Honey</t>
  </si>
  <si>
    <t>Names</t>
  </si>
  <si>
    <t>Girl</t>
  </si>
  <si>
    <t>Boy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</si>
  <si>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</si>
  <si>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</si>
  <si>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</si>
  <si>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</si>
  <si>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</si>
  <si>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</si>
  <si>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</si>
  <si>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</si>
  <si>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</si>
  <si>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</si>
  <si>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</si>
  <si>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</si>
  <si>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</si>
  <si>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</si>
  <si>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</si>
  <si>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</si>
  <si>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</si>
  <si>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</si>
  <si>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</si>
  <si>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</si>
  <si>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</si>
  <si>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</si>
  <si>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</si>
  <si>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</si>
  <si>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</si>
  <si>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</si>
  <si>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ISHANA</t>
  </si>
  <si>
    <t>DIPSHI</t>
  </si>
  <si>
    <t xml:space="preserve">archiSHA,AVNESHA, </t>
  </si>
  <si>
    <t>VIHANA</t>
  </si>
  <si>
    <t>TRINAYA</t>
  </si>
  <si>
    <t>RISHWIKA</t>
  </si>
  <si>
    <t xml:space="preserve">EKAGVI, ESHANKA, </t>
  </si>
  <si>
    <t>UGRASHI</t>
  </si>
  <si>
    <t>Honey - saruyu</t>
  </si>
  <si>
    <t>Fasttag</t>
  </si>
  <si>
    <t>Honey -Bus</t>
  </si>
  <si>
    <t>Act</t>
  </si>
  <si>
    <t>Honey -Sarayu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</si>
</sst>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16" fontId="0" fillId="0" borderId="0" xfId="0" applyNumberFormat="1"/>
    <xf numFmtId="15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3" fillId="0" borderId="0" xfId="0" applyFont="1"/>
    <xf numFmtId="0" fontId="0" fillId="8" borderId="0" xfId="0" applyFill="1"/>
    <xf numFmtId="17" fontId="0" fillId="0" borderId="0" xfId="0" applyNumberFormat="1"/>
    <xf numFmtId="0" fontId="4" fillId="0" borderId="0" xfId="0" applyFont="1"/>
    <xf numFmtId="0" fontId="0" fillId="2" borderId="1" xfId="0" applyFill="1" applyBorder="1"/>
    <xf numFmtId="0" fontId="0" fillId="9" borderId="1" xfId="0" applyFill="1" applyBorder="1"/>
    <xf numFmtId="0" fontId="0" fillId="0" borderId="1" xfId="0" applyBorder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1410-C88C-44B8-BE27-7CC70DBBD4CA}">
  <dimension ref="A2:F36"/>
  <sheetViews>
    <sheetView topLeftCell="A16" workbookViewId="0">
      <selection activeCell="F21" sqref="F21"/>
    </sheetView>
  </sheetViews>
  <sheetFormatPr defaultRowHeight="14.4" x14ac:dyDescent="0.3"/>
  <cols>
    <col min="1" max="1" width="44.77734375" customWidth="1"/>
    <col min="2" max="3" width="14.44140625" customWidth="1"/>
    <col min="5" max="5" width="16.21875" customWidth="1"/>
    <col min="6" max="6" width="23.109375" customWidth="1"/>
  </cols>
  <sheetData>
    <row r="2" spans="1:6" x14ac:dyDescent="0.3">
      <c r="B2" t="s">
        <v>27</v>
      </c>
      <c r="C2" s="1">
        <v>2800000</v>
      </c>
    </row>
    <row r="3" spans="1:6" x14ac:dyDescent="0.3">
      <c r="B3" t="s">
        <v>28</v>
      </c>
      <c r="C3" s="1">
        <v>2194900</v>
      </c>
    </row>
    <row r="5" spans="1:6" x14ac:dyDescent="0.3">
      <c r="A5" t="s">
        <v>29</v>
      </c>
      <c r="E5">
        <v>747000</v>
      </c>
    </row>
    <row r="6" spans="1:6" x14ac:dyDescent="0.3">
      <c r="A6" t="s">
        <v>30</v>
      </c>
      <c r="B6" t="s">
        <v>42</v>
      </c>
      <c r="D6" s="3">
        <v>1000000</v>
      </c>
    </row>
    <row r="7" spans="1:6" x14ac:dyDescent="0.3">
      <c r="A7" t="s">
        <v>32</v>
      </c>
      <c r="B7" t="s">
        <v>41</v>
      </c>
      <c r="D7" s="3">
        <v>500000</v>
      </c>
    </row>
    <row r="8" spans="1:6" x14ac:dyDescent="0.3">
      <c r="A8" t="s">
        <v>31</v>
      </c>
      <c r="B8" t="s">
        <v>42</v>
      </c>
      <c r="D8" s="3">
        <v>100000</v>
      </c>
    </row>
    <row r="9" spans="1:6" x14ac:dyDescent="0.3">
      <c r="A9" t="s">
        <v>33</v>
      </c>
      <c r="B9" t="s">
        <v>42</v>
      </c>
      <c r="D9" s="3">
        <v>2577200</v>
      </c>
    </row>
    <row r="10" spans="1:6" x14ac:dyDescent="0.3">
      <c r="D10" s="3">
        <v>17800</v>
      </c>
    </row>
    <row r="11" spans="1:6" x14ac:dyDescent="0.3">
      <c r="A11" t="s">
        <v>11</v>
      </c>
      <c r="B11" t="s">
        <v>14</v>
      </c>
      <c r="F11">
        <v>50000</v>
      </c>
    </row>
    <row r="12" spans="1:6" x14ac:dyDescent="0.3">
      <c r="A12" t="s">
        <v>12</v>
      </c>
      <c r="B12" t="s">
        <v>13</v>
      </c>
      <c r="F12">
        <v>50000</v>
      </c>
    </row>
    <row r="13" spans="1:6" x14ac:dyDescent="0.3">
      <c r="A13" t="s">
        <v>7</v>
      </c>
      <c r="B13" t="s">
        <v>5</v>
      </c>
      <c r="F13">
        <v>20000</v>
      </c>
    </row>
    <row r="14" spans="1:6" x14ac:dyDescent="0.3">
      <c r="F14">
        <v>17000</v>
      </c>
    </row>
    <row r="15" spans="1:6" x14ac:dyDescent="0.3">
      <c r="A15" t="s">
        <v>8</v>
      </c>
      <c r="B15" t="s">
        <v>5</v>
      </c>
      <c r="F15">
        <v>20000</v>
      </c>
    </row>
    <row r="16" spans="1:6" x14ac:dyDescent="0.3">
      <c r="F16">
        <v>23000</v>
      </c>
    </row>
    <row r="17" spans="1:6" x14ac:dyDescent="0.3">
      <c r="A17" t="s">
        <v>6</v>
      </c>
      <c r="B17" t="s">
        <v>5</v>
      </c>
      <c r="F17">
        <v>50000</v>
      </c>
    </row>
    <row r="18" spans="1:6" x14ac:dyDescent="0.3">
      <c r="F18">
        <v>53800</v>
      </c>
    </row>
    <row r="20" spans="1:6" x14ac:dyDescent="0.3">
      <c r="A20" t="s">
        <v>4</v>
      </c>
      <c r="B20" t="s">
        <v>5</v>
      </c>
      <c r="F20">
        <v>50000</v>
      </c>
    </row>
    <row r="21" spans="1:6" x14ac:dyDescent="0.3">
      <c r="A21" t="s">
        <v>9</v>
      </c>
      <c r="B21" t="s">
        <v>10</v>
      </c>
      <c r="F21">
        <v>48800</v>
      </c>
    </row>
    <row r="22" spans="1:6" x14ac:dyDescent="0.3">
      <c r="F22">
        <v>55000</v>
      </c>
    </row>
    <row r="23" spans="1:6" x14ac:dyDescent="0.3">
      <c r="A23" t="s">
        <v>2</v>
      </c>
      <c r="B23" t="s">
        <v>3</v>
      </c>
      <c r="F23">
        <v>20000</v>
      </c>
    </row>
    <row r="25" spans="1:6" x14ac:dyDescent="0.3">
      <c r="A25" t="s">
        <v>15</v>
      </c>
      <c r="B25" t="s">
        <v>1</v>
      </c>
      <c r="F25">
        <v>50000</v>
      </c>
    </row>
    <row r="26" spans="1:6" x14ac:dyDescent="0.3">
      <c r="A26" t="s">
        <v>16</v>
      </c>
      <c r="B26" t="s">
        <v>17</v>
      </c>
      <c r="F26">
        <v>20000</v>
      </c>
    </row>
    <row r="27" spans="1:6" x14ac:dyDescent="0.3">
      <c r="A27" t="s">
        <v>18</v>
      </c>
      <c r="B27" t="s">
        <v>5</v>
      </c>
      <c r="F27">
        <v>14800</v>
      </c>
    </row>
    <row r="28" spans="1:6" x14ac:dyDescent="0.3">
      <c r="A28" t="s">
        <v>20</v>
      </c>
      <c r="B28" t="s">
        <v>1</v>
      </c>
      <c r="F28">
        <v>50000</v>
      </c>
    </row>
    <row r="29" spans="1:6" x14ac:dyDescent="0.3">
      <c r="F29">
        <v>35000</v>
      </c>
    </row>
    <row r="31" spans="1:6" x14ac:dyDescent="0.3">
      <c r="A31" t="s">
        <v>19</v>
      </c>
      <c r="B31" t="s">
        <v>1</v>
      </c>
      <c r="F31">
        <v>24697</v>
      </c>
    </row>
    <row r="34" spans="3:6" x14ac:dyDescent="0.3">
      <c r="C34" s="1">
        <v>4994900</v>
      </c>
      <c r="D34">
        <v>4200000</v>
      </c>
      <c r="E34">
        <v>794900</v>
      </c>
      <c r="F34">
        <f>SUM(F1:F33)</f>
        <v>652097</v>
      </c>
    </row>
    <row r="36" spans="3:6" x14ac:dyDescent="0.3">
      <c r="E36">
        <f>SUM(E3:E35)</f>
        <v>1541900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2408-536C-43F7-8F53-B89ED96A826F}">
  <dimension ref="A1:T69"/>
  <sheetViews>
    <sheetView tabSelected="1" workbookViewId="0">
      <selection activeCell="B71" sqref="A1:XFD1048576"/>
    </sheetView>
  </sheetViews>
  <sheetFormatPr defaultRowHeight="14.4" x14ac:dyDescent="0.3"/>
  <cols>
    <col min="1" max="1" width="11" customWidth="1"/>
    <col min="2" max="2" width="22.33203125" customWidth="1"/>
    <col min="3" max="3" width="10.88671875" customWidth="1"/>
  </cols>
  <sheetData>
    <row r="1" spans="1:20" x14ac:dyDescent="0.3">
      <c r="A1" s="6" t="s">
        <v>51</v>
      </c>
      <c r="B1" s="6" t="s">
        <v>65</v>
      </c>
      <c r="C1" s="6" t="s">
        <v>54</v>
      </c>
      <c r="D1" s="6" t="s">
        <v>66</v>
      </c>
      <c r="E1" s="6" t="s">
        <v>55</v>
      </c>
      <c r="F1" s="6"/>
      <c r="G1" s="6" t="s">
        <v>64</v>
      </c>
      <c r="J1" s="6"/>
    </row>
    <row r="2" spans="1:20" x14ac:dyDescent="0.3">
      <c r="J2">
        <v>290000</v>
      </c>
    </row>
    <row r="3" spans="1:20" x14ac:dyDescent="0.3">
      <c r="A3" s="2">
        <v>44678</v>
      </c>
      <c r="B3" t="s">
        <v>44</v>
      </c>
      <c r="C3">
        <v>5</v>
      </c>
      <c r="D3">
        <v>6950</v>
      </c>
      <c r="E3">
        <f>C3*D3</f>
        <v>34750</v>
      </c>
    </row>
    <row r="4" spans="1:20" x14ac:dyDescent="0.3">
      <c r="A4" s="2">
        <v>44702</v>
      </c>
      <c r="B4" t="s">
        <v>44</v>
      </c>
      <c r="C4">
        <v>7</v>
      </c>
      <c r="D4">
        <v>7050</v>
      </c>
      <c r="E4">
        <f>C4*D4</f>
        <v>49350</v>
      </c>
    </row>
    <row r="5" spans="1:20" x14ac:dyDescent="0.3">
      <c r="A5" s="2">
        <v>44687</v>
      </c>
      <c r="B5" t="s">
        <v>44</v>
      </c>
      <c r="C5">
        <v>5</v>
      </c>
      <c r="D5">
        <v>6000</v>
      </c>
      <c r="E5">
        <f>C5*D5</f>
        <v>30000</v>
      </c>
      <c r="F5">
        <f>SUM(E3:E6)</f>
        <v>141100</v>
      </c>
      <c r="G5">
        <f>F5/F6</f>
        <v>6413.636363636364</v>
      </c>
      <c r="L5" s="1" t="s">
        <v>137</v>
      </c>
    </row>
    <row r="6" spans="1:20" x14ac:dyDescent="0.3">
      <c r="A6" s="2">
        <v>44725</v>
      </c>
      <c r="B6" t="s">
        <v>44</v>
      </c>
      <c r="C6">
        <v>5</v>
      </c>
      <c r="D6">
        <v>5400</v>
      </c>
      <c r="E6">
        <f>C6*D6</f>
        <v>27000</v>
      </c>
      <c r="F6">
        <f>SUM(C3:C6)</f>
        <v>22</v>
      </c>
    </row>
    <row r="7" spans="1:20" x14ac:dyDescent="0.3">
      <c r="A7" s="2">
        <v>44676</v>
      </c>
      <c r="B7" t="s">
        <v>45</v>
      </c>
      <c r="C7">
        <v>10</v>
      </c>
      <c r="D7">
        <v>4900</v>
      </c>
      <c r="E7">
        <f t="shared" ref="E7:E8" si="0">C7*D7</f>
        <v>49000</v>
      </c>
      <c r="G7">
        <f>E7/C7</f>
        <v>4900</v>
      </c>
      <c r="L7" t="s">
        <v>107</v>
      </c>
      <c r="M7">
        <v>10</v>
      </c>
      <c r="N7">
        <v>5180</v>
      </c>
      <c r="O7">
        <f>M7*N7</f>
        <v>51800</v>
      </c>
      <c r="Q7">
        <v>10</v>
      </c>
      <c r="R7">
        <v>4900</v>
      </c>
      <c r="S7">
        <f t="shared" ref="S7:S8" si="1">Q7*R7</f>
        <v>49000</v>
      </c>
      <c r="T7" s="1">
        <f>O7-S7</f>
        <v>2800</v>
      </c>
    </row>
    <row r="8" spans="1:20" x14ac:dyDescent="0.3">
      <c r="A8" s="2">
        <v>44686</v>
      </c>
      <c r="B8" t="s">
        <v>46</v>
      </c>
      <c r="C8">
        <v>25</v>
      </c>
      <c r="D8">
        <v>2220</v>
      </c>
      <c r="E8">
        <f t="shared" si="0"/>
        <v>55500</v>
      </c>
      <c r="G8">
        <f>E8/C8</f>
        <v>2220</v>
      </c>
      <c r="L8" t="s">
        <v>108</v>
      </c>
      <c r="M8">
        <v>24</v>
      </c>
      <c r="N8">
        <v>2170</v>
      </c>
      <c r="O8">
        <f>M8*N8</f>
        <v>52080</v>
      </c>
      <c r="Q8">
        <v>24</v>
      </c>
      <c r="R8">
        <v>2220</v>
      </c>
      <c r="S8">
        <f t="shared" si="1"/>
        <v>53280</v>
      </c>
      <c r="T8" s="1">
        <f>O8-S8</f>
        <v>-1200</v>
      </c>
    </row>
    <row r="9" spans="1:20" x14ac:dyDescent="0.3">
      <c r="A9" s="2"/>
      <c r="L9" t="s">
        <v>109</v>
      </c>
      <c r="M9">
        <v>21</v>
      </c>
      <c r="N9">
        <v>7850</v>
      </c>
      <c r="O9">
        <f>M9*N9</f>
        <v>164850</v>
      </c>
      <c r="Q9">
        <v>21</v>
      </c>
      <c r="R9">
        <v>6413</v>
      </c>
      <c r="S9">
        <f>Q9*R9</f>
        <v>134673</v>
      </c>
      <c r="T9" s="1">
        <f>O9-S9</f>
        <v>30177</v>
      </c>
    </row>
    <row r="10" spans="1:20" x14ac:dyDescent="0.3">
      <c r="A10" s="2">
        <v>44712</v>
      </c>
      <c r="B10" t="s">
        <v>49</v>
      </c>
      <c r="J10">
        <v>100000</v>
      </c>
    </row>
    <row r="11" spans="1:20" x14ac:dyDescent="0.3">
      <c r="A11" s="2">
        <v>44795</v>
      </c>
      <c r="B11" t="s">
        <v>74</v>
      </c>
      <c r="J11">
        <v>250000</v>
      </c>
    </row>
    <row r="12" spans="1:20" x14ac:dyDescent="0.3">
      <c r="E12">
        <f>SUM(E1:E8)</f>
        <v>245600</v>
      </c>
      <c r="G12">
        <f>J12-E12</f>
        <v>394400</v>
      </c>
      <c r="J12">
        <f>SUM(J2:J11)</f>
        <v>640000</v>
      </c>
      <c r="O12">
        <f>O7+O8+O9</f>
        <v>268730</v>
      </c>
      <c r="S12">
        <f>S7+S8+S9</f>
        <v>236953</v>
      </c>
      <c r="T12" s="1">
        <f>T7+T8+T9</f>
        <v>31777</v>
      </c>
    </row>
    <row r="13" spans="1:20" x14ac:dyDescent="0.3">
      <c r="L13" t="s">
        <v>195</v>
      </c>
      <c r="O13">
        <v>250000</v>
      </c>
    </row>
    <row r="16" spans="1:20" x14ac:dyDescent="0.3">
      <c r="A16" s="2">
        <v>44881</v>
      </c>
      <c r="B16" s="17" t="s">
        <v>89</v>
      </c>
      <c r="D16">
        <v>3000</v>
      </c>
      <c r="O16">
        <f>O12-O13</f>
        <v>18730</v>
      </c>
    </row>
    <row r="17" spans="1:5" x14ac:dyDescent="0.3">
      <c r="A17" s="2">
        <v>44915</v>
      </c>
      <c r="B17" s="17" t="s">
        <v>105</v>
      </c>
      <c r="D17">
        <v>5000</v>
      </c>
    </row>
    <row r="18" spans="1:5" x14ac:dyDescent="0.3">
      <c r="A18" s="2">
        <v>44926</v>
      </c>
      <c r="B18" s="17" t="s">
        <v>96</v>
      </c>
      <c r="D18">
        <v>2000</v>
      </c>
    </row>
    <row r="19" spans="1:5" x14ac:dyDescent="0.3">
      <c r="A19" s="2">
        <v>44929</v>
      </c>
      <c r="B19" s="17" t="s">
        <v>98</v>
      </c>
      <c r="D19">
        <v>8150</v>
      </c>
    </row>
    <row r="20" spans="1:5" x14ac:dyDescent="0.3">
      <c r="A20" s="2"/>
      <c r="B20" s="17" t="s">
        <v>97</v>
      </c>
      <c r="D20">
        <v>5000</v>
      </c>
    </row>
    <row r="21" spans="1:5" x14ac:dyDescent="0.3">
      <c r="A21" s="2">
        <v>44937</v>
      </c>
      <c r="B21" s="17" t="s">
        <v>89</v>
      </c>
      <c r="D21">
        <v>3000</v>
      </c>
    </row>
    <row r="22" spans="1:5" x14ac:dyDescent="0.3">
      <c r="A22" s="5">
        <v>44966</v>
      </c>
      <c r="B22" s="17" t="s">
        <v>97</v>
      </c>
      <c r="D22">
        <v>550</v>
      </c>
    </row>
    <row r="23" spans="1:5" x14ac:dyDescent="0.3">
      <c r="A23" s="5"/>
      <c r="B23" s="17" t="s">
        <v>96</v>
      </c>
      <c r="D23">
        <v>200</v>
      </c>
    </row>
    <row r="24" spans="1:5" x14ac:dyDescent="0.3">
      <c r="A24" s="5">
        <v>45001</v>
      </c>
      <c r="B24" s="17" t="s">
        <v>106</v>
      </c>
      <c r="D24">
        <v>4200</v>
      </c>
    </row>
    <row r="25" spans="1:5" x14ac:dyDescent="0.3">
      <c r="A25" s="5">
        <v>45060</v>
      </c>
      <c r="B25" s="17" t="s">
        <v>96</v>
      </c>
      <c r="D25">
        <v>5000</v>
      </c>
    </row>
    <row r="26" spans="1:5" x14ac:dyDescent="0.3">
      <c r="A26" s="5">
        <v>45117</v>
      </c>
      <c r="B26" s="17" t="s">
        <v>193</v>
      </c>
      <c r="D26">
        <v>3500</v>
      </c>
    </row>
    <row r="27" spans="1:5" x14ac:dyDescent="0.3">
      <c r="A27" s="5">
        <v>45114</v>
      </c>
      <c r="B27" s="17" t="s">
        <v>194</v>
      </c>
      <c r="D27">
        <v>2500</v>
      </c>
      <c r="E27">
        <v>5000</v>
      </c>
    </row>
    <row r="28" spans="1:5" x14ac:dyDescent="0.3">
      <c r="A28" s="5">
        <v>45126</v>
      </c>
      <c r="B28" s="17" t="s">
        <v>202</v>
      </c>
      <c r="D28">
        <v>8660</v>
      </c>
    </row>
    <row r="29" spans="1:5" x14ac:dyDescent="0.3">
      <c r="A29" s="5"/>
      <c r="B29" s="15" t="s">
        <v>191</v>
      </c>
      <c r="E29">
        <v>8000</v>
      </c>
    </row>
    <row r="30" spans="1:5" x14ac:dyDescent="0.3">
      <c r="A30" s="5">
        <v>11202</v>
      </c>
      <c r="B30" s="15" t="s">
        <v>219</v>
      </c>
      <c r="D30">
        <v>45000</v>
      </c>
      <c r="E30" t="s">
        <v>220</v>
      </c>
    </row>
    <row r="31" spans="1:5" x14ac:dyDescent="0.3">
      <c r="A31" s="5"/>
      <c r="B31" s="15" t="s">
        <v>192</v>
      </c>
      <c r="E31">
        <v>11000</v>
      </c>
    </row>
    <row r="32" spans="1:5" x14ac:dyDescent="0.3">
      <c r="A32" s="5">
        <v>45239</v>
      </c>
      <c r="B32" s="16" t="s">
        <v>96</v>
      </c>
      <c r="D32">
        <v>2000</v>
      </c>
    </row>
    <row r="33" spans="1:8" x14ac:dyDescent="0.3">
      <c r="A33" s="5" t="s">
        <v>221</v>
      </c>
      <c r="B33" s="16" t="s">
        <v>222</v>
      </c>
      <c r="D33">
        <v>2500</v>
      </c>
    </row>
    <row r="34" spans="1:8" x14ac:dyDescent="0.3">
      <c r="A34" s="5">
        <v>45301</v>
      </c>
      <c r="B34" s="16" t="s">
        <v>224</v>
      </c>
      <c r="D34">
        <v>1000</v>
      </c>
    </row>
    <row r="35" spans="1:8" x14ac:dyDescent="0.3">
      <c r="A35" s="5">
        <v>45333</v>
      </c>
      <c r="B35" s="16" t="s">
        <v>89</v>
      </c>
      <c r="D35">
        <v>2000</v>
      </c>
    </row>
    <row r="36" spans="1:8" x14ac:dyDescent="0.3">
      <c r="A36" s="5">
        <v>45351</v>
      </c>
      <c r="B36" s="16" t="s">
        <v>96</v>
      </c>
      <c r="D36">
        <v>1000</v>
      </c>
    </row>
    <row r="37" spans="1:8" x14ac:dyDescent="0.3">
      <c r="A37" s="5">
        <v>45010</v>
      </c>
      <c r="B37" s="16" t="s">
        <v>225</v>
      </c>
      <c r="D37">
        <v>2100</v>
      </c>
    </row>
    <row r="38" spans="1:8" x14ac:dyDescent="0.3">
      <c r="A38" s="5">
        <v>45396</v>
      </c>
      <c r="B38" s="16" t="s">
        <v>96</v>
      </c>
      <c r="D38">
        <v>2000</v>
      </c>
    </row>
    <row r="39" spans="1:8" x14ac:dyDescent="0.3">
      <c r="A39" s="5">
        <v>45398</v>
      </c>
      <c r="B39" s="16" t="s">
        <v>226</v>
      </c>
      <c r="D39">
        <v>2500</v>
      </c>
    </row>
    <row r="40" spans="1:8" x14ac:dyDescent="0.3">
      <c r="A40" s="5">
        <v>45412</v>
      </c>
      <c r="B40" s="16" t="s">
        <v>226</v>
      </c>
      <c r="D40">
        <v>3000</v>
      </c>
    </row>
    <row r="41" spans="1:8" x14ac:dyDescent="0.3">
      <c r="A41" s="5">
        <v>45438</v>
      </c>
      <c r="B41" s="16" t="s">
        <v>117</v>
      </c>
      <c r="D41">
        <v>2440</v>
      </c>
    </row>
    <row r="42" spans="1:8" x14ac:dyDescent="0.3">
      <c r="A42" s="5">
        <v>45439</v>
      </c>
      <c r="B42" s="16" t="s">
        <v>227</v>
      </c>
      <c r="D42">
        <v>1500</v>
      </c>
    </row>
    <row r="43" spans="1:8" x14ac:dyDescent="0.3">
      <c r="A43" s="5">
        <v>45461</v>
      </c>
      <c r="B43" s="16" t="s">
        <v>229</v>
      </c>
      <c r="D43">
        <v>5000</v>
      </c>
    </row>
    <row r="44" spans="1:8" x14ac:dyDescent="0.3">
      <c r="A44" s="5">
        <v>45463</v>
      </c>
      <c r="B44" s="16" t="s">
        <v>230</v>
      </c>
      <c r="D44">
        <v>250</v>
      </c>
      <c r="H44" t="s">
        <v>228</v>
      </c>
    </row>
    <row r="45" spans="1:8" x14ac:dyDescent="0.3">
      <c r="A45" s="5">
        <v>45462</v>
      </c>
      <c r="B45" s="16" t="s">
        <v>238</v>
      </c>
      <c r="D45">
        <v>110</v>
      </c>
    </row>
    <row r="46" spans="1:8" x14ac:dyDescent="0.3">
      <c r="A46" s="5">
        <v>45463</v>
      </c>
      <c r="B46" s="16" t="s">
        <v>238</v>
      </c>
      <c r="D46">
        <v>20</v>
      </c>
    </row>
    <row r="47" spans="1:8" x14ac:dyDescent="0.3">
      <c r="A47" s="5">
        <v>45462</v>
      </c>
      <c r="B47" s="16" t="s">
        <v>239</v>
      </c>
      <c r="D47">
        <v>1450</v>
      </c>
    </row>
    <row r="48" spans="1:8" x14ac:dyDescent="0.3">
      <c r="A48" s="5">
        <v>45465</v>
      </c>
      <c r="B48" s="16" t="s">
        <v>231</v>
      </c>
      <c r="D48">
        <v>400</v>
      </c>
    </row>
    <row r="49" spans="1:7" x14ac:dyDescent="0.3">
      <c r="A49" s="5">
        <v>45465</v>
      </c>
      <c r="B49" s="16" t="s">
        <v>232</v>
      </c>
      <c r="D49">
        <v>1400</v>
      </c>
    </row>
    <row r="50" spans="1:7" x14ac:dyDescent="0.3">
      <c r="A50" s="5">
        <v>45468</v>
      </c>
      <c r="B50" s="16" t="s">
        <v>233</v>
      </c>
      <c r="D50">
        <v>2200</v>
      </c>
    </row>
    <row r="51" spans="1:7" x14ac:dyDescent="0.3">
      <c r="A51" s="5">
        <v>45466</v>
      </c>
      <c r="B51" s="16" t="s">
        <v>234</v>
      </c>
      <c r="D51">
        <v>1800</v>
      </c>
    </row>
    <row r="52" spans="1:7" x14ac:dyDescent="0.3">
      <c r="A52" s="5">
        <v>45473</v>
      </c>
      <c r="B52" s="16" t="s">
        <v>89</v>
      </c>
      <c r="D52">
        <v>2000</v>
      </c>
    </row>
    <row r="53" spans="1:7" x14ac:dyDescent="0.3">
      <c r="A53" s="5">
        <v>45475</v>
      </c>
      <c r="B53" s="16" t="s">
        <v>235</v>
      </c>
      <c r="D53">
        <v>5000</v>
      </c>
    </row>
    <row r="54" spans="1:7" x14ac:dyDescent="0.3">
      <c r="A54" s="5">
        <v>45474</v>
      </c>
      <c r="B54" s="16" t="s">
        <v>236</v>
      </c>
      <c r="D54">
        <v>700</v>
      </c>
    </row>
    <row r="55" spans="1:7" x14ac:dyDescent="0.3">
      <c r="A55" s="5">
        <v>45480</v>
      </c>
      <c r="B55" s="16" t="s">
        <v>237</v>
      </c>
      <c r="D55">
        <v>360</v>
      </c>
    </row>
    <row r="56" spans="1:7" x14ac:dyDescent="0.3">
      <c r="A56" s="5">
        <v>45480</v>
      </c>
      <c r="B56" s="16" t="s">
        <v>240</v>
      </c>
      <c r="D56">
        <v>60</v>
      </c>
    </row>
    <row r="57" spans="1:7" x14ac:dyDescent="0.3">
      <c r="A57" s="5">
        <v>45483</v>
      </c>
      <c r="B57" s="16" t="s">
        <v>228</v>
      </c>
      <c r="D57">
        <v>63000</v>
      </c>
    </row>
    <row r="58" spans="1:7" x14ac:dyDescent="0.3">
      <c r="A58" s="5">
        <v>45484</v>
      </c>
      <c r="B58" s="16" t="s">
        <v>241</v>
      </c>
      <c r="D58">
        <v>23000</v>
      </c>
      <c r="F58">
        <v>50000</v>
      </c>
      <c r="G58" t="s">
        <v>242</v>
      </c>
    </row>
    <row r="59" spans="1:7" x14ac:dyDescent="0.3">
      <c r="A59" s="5">
        <v>45485</v>
      </c>
      <c r="B59" s="16" t="s">
        <v>243</v>
      </c>
      <c r="D59">
        <v>400</v>
      </c>
    </row>
    <row r="60" spans="1:7" x14ac:dyDescent="0.3">
      <c r="A60" s="5">
        <v>45485</v>
      </c>
      <c r="B60" s="16" t="s">
        <v>89</v>
      </c>
      <c r="D60">
        <v>2000</v>
      </c>
    </row>
    <row r="61" spans="1:7" x14ac:dyDescent="0.3">
      <c r="A61" s="5">
        <v>45511</v>
      </c>
      <c r="B61" s="16" t="s">
        <v>89</v>
      </c>
      <c r="D61">
        <v>1500</v>
      </c>
    </row>
    <row r="62" spans="1:7" x14ac:dyDescent="0.3">
      <c r="A62" s="5">
        <v>45548</v>
      </c>
      <c r="B62" s="16" t="s">
        <v>89</v>
      </c>
      <c r="D62">
        <v>1000</v>
      </c>
    </row>
    <row r="63" spans="1:7" x14ac:dyDescent="0.3">
      <c r="A63" s="5">
        <v>45576</v>
      </c>
      <c r="B63" s="16" t="s">
        <v>281</v>
      </c>
      <c r="D63">
        <v>1000</v>
      </c>
    </row>
    <row r="64" spans="1:7" x14ac:dyDescent="0.3">
      <c r="A64" s="5">
        <v>45584</v>
      </c>
      <c r="B64" s="16" t="s">
        <v>283</v>
      </c>
      <c r="D64">
        <v>450</v>
      </c>
    </row>
    <row r="65" spans="1:11" x14ac:dyDescent="0.3">
      <c r="A65" s="5">
        <v>45586</v>
      </c>
      <c r="B65" s="16" t="s">
        <v>282</v>
      </c>
      <c r="D65">
        <v>2000</v>
      </c>
    </row>
    <row r="66" spans="1:11" x14ac:dyDescent="0.3">
      <c r="A66" s="5">
        <v>45589</v>
      </c>
      <c r="B66" s="16" t="s">
        <v>284</v>
      </c>
      <c r="D66">
        <v>557</v>
      </c>
    </row>
    <row r="67" spans="1:11" x14ac:dyDescent="0.3">
      <c r="A67" s="5">
        <v>45591</v>
      </c>
      <c r="B67" s="16" t="s">
        <v>285</v>
      </c>
      <c r="D67">
        <v>1000</v>
      </c>
    </row>
    <row r="68" spans="1:11" x14ac:dyDescent="0.3">
      <c r="A68" s="5">
        <v>45591</v>
      </c>
      <c r="B68" s="16" t="s">
        <v>87</v>
      </c>
      <c r="D68">
        <v>100</v>
      </c>
    </row>
    <row r="69" spans="1:11" x14ac:dyDescent="0.3">
      <c r="B69" s="17"/>
      <c r="D69">
        <f>SUM(D16:D68)</f>
        <v>234557</v>
      </c>
      <c r="G69" s="9">
        <f>(G12-D69)</f>
        <v>159843</v>
      </c>
      <c r="K69" s="9">
        <f>G69+H69</f>
        <v>159843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617E-843C-457F-82E4-849962F90039}">
  <dimension ref="A1:C27"/>
  <sheetViews>
    <sheetView topLeftCell="A3" workbookViewId="0">
      <selection activeCell="B22" sqref="B22"/>
    </sheetView>
  </sheetViews>
  <sheetFormatPr defaultRowHeight="14.4" x14ac:dyDescent="0.3"/>
  <cols>
    <col min="2" max="2" width="54.77734375" customWidth="1"/>
    <col min="3" max="3" width="59.21875" customWidth="1"/>
  </cols>
  <sheetData>
    <row r="1" spans="1:3" x14ac:dyDescent="0.3">
      <c r="A1" t="s">
        <v>244</v>
      </c>
      <c r="B1" t="s">
        <v>245</v>
      </c>
      <c r="C1" t="s">
        <v>246</v>
      </c>
    </row>
    <row r="2" spans="1:3" x14ac:dyDescent="0.3">
      <c r="A2" t="s">
        <v>247</v>
      </c>
      <c r="B2" t="s">
        <v>275</v>
      </c>
    </row>
    <row r="3" spans="1:3" x14ac:dyDescent="0.3">
      <c r="A3" t="s">
        <v>248</v>
      </c>
    </row>
    <row r="4" spans="1:3" x14ac:dyDescent="0.3">
      <c r="A4" t="s">
        <v>249</v>
      </c>
    </row>
    <row r="5" spans="1:3" x14ac:dyDescent="0.3">
      <c r="A5" t="s">
        <v>250</v>
      </c>
      <c r="B5" t="s">
        <v>274</v>
      </c>
    </row>
    <row r="6" spans="1:3" x14ac:dyDescent="0.3">
      <c r="A6" t="s">
        <v>251</v>
      </c>
      <c r="B6" t="s">
        <v>279</v>
      </c>
    </row>
    <row r="7" spans="1:3" x14ac:dyDescent="0.3">
      <c r="A7" t="s">
        <v>252</v>
      </c>
    </row>
    <row r="8" spans="1:3" x14ac:dyDescent="0.3">
      <c r="A8" t="s">
        <v>253</v>
      </c>
    </row>
    <row r="9" spans="1:3" x14ac:dyDescent="0.3">
      <c r="A9" t="s">
        <v>254</v>
      </c>
    </row>
    <row r="10" spans="1:3" x14ac:dyDescent="0.3">
      <c r="A10" t="s">
        <v>255</v>
      </c>
      <c r="B10" t="s">
        <v>273</v>
      </c>
    </row>
    <row r="11" spans="1:3" x14ac:dyDescent="0.3">
      <c r="A11" t="s">
        <v>256</v>
      </c>
    </row>
    <row r="12" spans="1:3" x14ac:dyDescent="0.3">
      <c r="A12" t="s">
        <v>257</v>
      </c>
    </row>
    <row r="13" spans="1:3" x14ac:dyDescent="0.3">
      <c r="A13" t="s">
        <v>258</v>
      </c>
    </row>
    <row r="14" spans="1:3" x14ac:dyDescent="0.3">
      <c r="A14" t="s">
        <v>259</v>
      </c>
    </row>
    <row r="15" spans="1:3" x14ac:dyDescent="0.3">
      <c r="A15" t="s">
        <v>261</v>
      </c>
    </row>
    <row r="16" spans="1:3" x14ac:dyDescent="0.3">
      <c r="A16" t="s">
        <v>260</v>
      </c>
    </row>
    <row r="17" spans="1:2" x14ac:dyDescent="0.3">
      <c r="A17" t="s">
        <v>262</v>
      </c>
    </row>
    <row r="18" spans="1:2" x14ac:dyDescent="0.3">
      <c r="A18" t="s">
        <v>263</v>
      </c>
    </row>
    <row r="19" spans="1:2" x14ac:dyDescent="0.3">
      <c r="A19" t="s">
        <v>264</v>
      </c>
      <c r="B19" t="s">
        <v>278</v>
      </c>
    </row>
    <row r="20" spans="1:2" x14ac:dyDescent="0.3">
      <c r="A20" t="s">
        <v>265</v>
      </c>
    </row>
    <row r="21" spans="1:2" x14ac:dyDescent="0.3">
      <c r="A21" t="s">
        <v>266</v>
      </c>
      <c r="B21" t="s">
        <v>277</v>
      </c>
    </row>
    <row r="22" spans="1:2" x14ac:dyDescent="0.3">
      <c r="A22" t="s">
        <v>267</v>
      </c>
      <c r="B22" t="s">
        <v>280</v>
      </c>
    </row>
    <row r="23" spans="1:2" x14ac:dyDescent="0.3">
      <c r="A23" t="s">
        <v>268</v>
      </c>
      <c r="B23" t="s">
        <v>276</v>
      </c>
    </row>
    <row r="24" spans="1:2" x14ac:dyDescent="0.3">
      <c r="A24" t="s">
        <v>269</v>
      </c>
    </row>
    <row r="25" spans="1:2" x14ac:dyDescent="0.3">
      <c r="A25" t="s">
        <v>270</v>
      </c>
    </row>
    <row r="26" spans="1:2" x14ac:dyDescent="0.3">
      <c r="A26" t="s">
        <v>271</v>
      </c>
    </row>
    <row r="27" spans="1:2" x14ac:dyDescent="0.3">
      <c r="A27" t="s">
        <v>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301C-FAF2-4ACB-9763-4D8FA3F78DD6}">
  <dimension ref="A1:M37"/>
  <sheetViews>
    <sheetView topLeftCell="A16" workbookViewId="0">
      <selection activeCell="K23" sqref="K23"/>
    </sheetView>
  </sheetViews>
  <sheetFormatPr defaultRowHeight="14.4" x14ac:dyDescent="0.3"/>
  <cols>
    <col min="2" max="2" width="14.77734375" customWidth="1"/>
    <col min="3" max="3" width="10.44140625" customWidth="1"/>
  </cols>
  <sheetData>
    <row r="1" spans="1:13" x14ac:dyDescent="0.3">
      <c r="A1" s="7" t="s">
        <v>51</v>
      </c>
      <c r="B1" s="7" t="s">
        <v>52</v>
      </c>
      <c r="C1" s="7" t="s">
        <v>54</v>
      </c>
      <c r="D1" s="7" t="s">
        <v>53</v>
      </c>
      <c r="E1" s="7"/>
      <c r="F1" s="7" t="s">
        <v>55</v>
      </c>
      <c r="G1" s="7"/>
      <c r="H1" s="7"/>
      <c r="I1" s="7"/>
      <c r="J1" s="7" t="s">
        <v>64</v>
      </c>
    </row>
    <row r="2" spans="1:13" x14ac:dyDescent="0.3">
      <c r="A2" s="18" t="s">
        <v>50</v>
      </c>
      <c r="B2" s="18"/>
      <c r="C2" s="18"/>
      <c r="D2" s="18"/>
      <c r="E2" s="18"/>
      <c r="F2" s="18"/>
      <c r="G2" s="18"/>
      <c r="H2" s="18"/>
      <c r="I2" s="18"/>
      <c r="J2" s="18"/>
      <c r="L2" t="s">
        <v>70</v>
      </c>
      <c r="M2" s="9">
        <f>F9+F18+F26+F29+F36</f>
        <v>160214</v>
      </c>
    </row>
    <row r="3" spans="1:13" x14ac:dyDescent="0.3">
      <c r="A3" s="5">
        <v>44725</v>
      </c>
      <c r="B3" t="s">
        <v>44</v>
      </c>
      <c r="C3">
        <v>2</v>
      </c>
      <c r="D3">
        <v>5390</v>
      </c>
      <c r="F3">
        <f>C3*D3</f>
        <v>10780</v>
      </c>
    </row>
    <row r="4" spans="1:13" x14ac:dyDescent="0.3">
      <c r="C4">
        <v>3</v>
      </c>
      <c r="D4">
        <v>6440</v>
      </c>
      <c r="F4">
        <f>C4*D4</f>
        <v>19320</v>
      </c>
      <c r="I4">
        <f>F3+F4</f>
        <v>30100</v>
      </c>
      <c r="J4">
        <f>I4/5</f>
        <v>6020</v>
      </c>
    </row>
    <row r="5" spans="1:13" x14ac:dyDescent="0.3">
      <c r="B5" t="s">
        <v>1</v>
      </c>
      <c r="C5">
        <v>1</v>
      </c>
      <c r="D5">
        <v>1499</v>
      </c>
      <c r="F5">
        <f>C5*D5</f>
        <v>1499</v>
      </c>
    </row>
    <row r="6" spans="1:13" x14ac:dyDescent="0.3">
      <c r="B6" t="s">
        <v>101</v>
      </c>
      <c r="C6">
        <v>2</v>
      </c>
      <c r="D6">
        <v>587</v>
      </c>
      <c r="F6">
        <f>C6*D6</f>
        <v>1174</v>
      </c>
    </row>
    <row r="7" spans="1:13" x14ac:dyDescent="0.3">
      <c r="B7" t="s">
        <v>56</v>
      </c>
      <c r="C7">
        <v>1</v>
      </c>
      <c r="D7">
        <v>860</v>
      </c>
      <c r="F7">
        <f t="shared" ref="F7" si="0">C7*D7</f>
        <v>860</v>
      </c>
      <c r="J7">
        <f>F7/C7</f>
        <v>860</v>
      </c>
    </row>
    <row r="9" spans="1:13" x14ac:dyDescent="0.3">
      <c r="F9" s="8">
        <f>SUM(F3:F8)</f>
        <v>33633</v>
      </c>
    </row>
    <row r="10" spans="1:13" x14ac:dyDescent="0.3">
      <c r="A10" s="18" t="s">
        <v>57</v>
      </c>
      <c r="B10" s="18"/>
      <c r="C10" s="18"/>
      <c r="D10" s="18"/>
      <c r="E10" s="18"/>
      <c r="F10" s="18"/>
      <c r="G10" s="18"/>
      <c r="H10" s="18"/>
      <c r="I10" s="18"/>
      <c r="J10" s="18"/>
    </row>
    <row r="11" spans="1:13" x14ac:dyDescent="0.3">
      <c r="B11" t="s">
        <v>58</v>
      </c>
      <c r="C11">
        <v>5</v>
      </c>
      <c r="D11">
        <v>2000</v>
      </c>
      <c r="F11">
        <f>C11*D11</f>
        <v>10000</v>
      </c>
      <c r="I11">
        <v>3680</v>
      </c>
      <c r="J11">
        <f>I11/2</f>
        <v>1840</v>
      </c>
    </row>
    <row r="12" spans="1:13" x14ac:dyDescent="0.3">
      <c r="B12" t="s">
        <v>59</v>
      </c>
      <c r="C12">
        <v>4</v>
      </c>
      <c r="D12">
        <v>2845</v>
      </c>
      <c r="F12">
        <f t="shared" ref="F12:F17" si="1">C12*D12</f>
        <v>11380</v>
      </c>
      <c r="I12">
        <v>11380</v>
      </c>
      <c r="J12">
        <f>I12/4</f>
        <v>2845</v>
      </c>
    </row>
    <row r="13" spans="1:13" x14ac:dyDescent="0.3">
      <c r="B13" t="s">
        <v>60</v>
      </c>
      <c r="C13">
        <v>4</v>
      </c>
      <c r="D13">
        <v>2850</v>
      </c>
      <c r="F13">
        <f t="shared" si="1"/>
        <v>11400</v>
      </c>
      <c r="J13">
        <f>F13/C13</f>
        <v>2850</v>
      </c>
    </row>
    <row r="14" spans="1:13" x14ac:dyDescent="0.3">
      <c r="B14" t="s">
        <v>61</v>
      </c>
      <c r="C14">
        <v>4</v>
      </c>
      <c r="D14">
        <v>2336</v>
      </c>
      <c r="F14">
        <f t="shared" si="1"/>
        <v>9344</v>
      </c>
    </row>
    <row r="15" spans="1:13" x14ac:dyDescent="0.3">
      <c r="A15" s="4">
        <v>44729</v>
      </c>
      <c r="B15" t="s">
        <v>61</v>
      </c>
      <c r="C15">
        <v>1</v>
      </c>
      <c r="D15">
        <v>2000</v>
      </c>
      <c r="F15">
        <f t="shared" si="1"/>
        <v>2000</v>
      </c>
      <c r="J15">
        <f>(F14+F15)/(C14+C15)</f>
        <v>2268.8000000000002</v>
      </c>
    </row>
    <row r="16" spans="1:13" x14ac:dyDescent="0.3">
      <c r="B16" t="s">
        <v>62</v>
      </c>
      <c r="C16">
        <v>5</v>
      </c>
      <c r="D16">
        <v>592</v>
      </c>
      <c r="F16">
        <f>C16*D16</f>
        <v>2960</v>
      </c>
      <c r="J16">
        <f t="shared" ref="J16" si="2">F16/C16</f>
        <v>592</v>
      </c>
    </row>
    <row r="17" spans="1:10" x14ac:dyDescent="0.3">
      <c r="B17" t="s">
        <v>75</v>
      </c>
      <c r="C17">
        <v>2</v>
      </c>
      <c r="D17">
        <v>6250</v>
      </c>
      <c r="F17">
        <f t="shared" si="1"/>
        <v>12500</v>
      </c>
      <c r="J17">
        <v>6250</v>
      </c>
    </row>
    <row r="18" spans="1:10" x14ac:dyDescent="0.3">
      <c r="F18" s="8">
        <f>SUM(F11:F17)</f>
        <v>59584</v>
      </c>
    </row>
    <row r="19" spans="1:10" x14ac:dyDescent="0.3">
      <c r="A19" s="18" t="s">
        <v>63</v>
      </c>
      <c r="B19" s="18"/>
      <c r="C19" s="18"/>
      <c r="D19" s="18"/>
      <c r="E19" s="18"/>
      <c r="F19" s="18"/>
      <c r="G19" s="18"/>
      <c r="H19" s="18"/>
      <c r="I19" s="18"/>
      <c r="J19" s="18"/>
    </row>
    <row r="22" spans="1:10" x14ac:dyDescent="0.3">
      <c r="A22" s="4"/>
    </row>
    <row r="23" spans="1:10" x14ac:dyDescent="0.3">
      <c r="A23" s="4"/>
      <c r="B23" t="s">
        <v>102</v>
      </c>
      <c r="C23">
        <v>2</v>
      </c>
      <c r="D23">
        <v>4000</v>
      </c>
      <c r="F23">
        <f>C23*D23</f>
        <v>8000</v>
      </c>
      <c r="J23">
        <v>4000</v>
      </c>
    </row>
    <row r="24" spans="1:10" x14ac:dyDescent="0.3">
      <c r="A24" s="4"/>
      <c r="B24" t="s">
        <v>76</v>
      </c>
      <c r="C24">
        <v>3</v>
      </c>
      <c r="D24">
        <v>7660</v>
      </c>
      <c r="F24">
        <f>C24*D24</f>
        <v>22980</v>
      </c>
      <c r="J24">
        <v>7660</v>
      </c>
    </row>
    <row r="25" spans="1:10" x14ac:dyDescent="0.3">
      <c r="A25" s="4"/>
      <c r="B25" t="s">
        <v>77</v>
      </c>
      <c r="C25">
        <v>1</v>
      </c>
      <c r="D25">
        <v>9190</v>
      </c>
      <c r="F25">
        <v>9190</v>
      </c>
      <c r="J25">
        <v>9190</v>
      </c>
    </row>
    <row r="26" spans="1:10" x14ac:dyDescent="0.3">
      <c r="F26" s="8">
        <f>SUM(F21:F25)</f>
        <v>40170</v>
      </c>
    </row>
    <row r="27" spans="1:10" x14ac:dyDescent="0.3">
      <c r="A27" s="18" t="s">
        <v>71</v>
      </c>
      <c r="B27" s="18"/>
      <c r="C27" s="18"/>
      <c r="D27" s="18"/>
      <c r="E27" s="18"/>
      <c r="F27" s="18"/>
      <c r="G27" s="18"/>
      <c r="H27" s="18"/>
      <c r="I27" s="18"/>
      <c r="J27" s="18"/>
    </row>
    <row r="29" spans="1:10" x14ac:dyDescent="0.3">
      <c r="F29" s="8">
        <f>SUM(F28:F28)</f>
        <v>0</v>
      </c>
    </row>
    <row r="30" spans="1:10" x14ac:dyDescent="0.3">
      <c r="A30" s="18" t="s">
        <v>67</v>
      </c>
      <c r="B30" s="18"/>
      <c r="C30" s="18"/>
      <c r="D30" s="18"/>
      <c r="E30" s="18"/>
      <c r="F30" s="18"/>
      <c r="G30" s="18"/>
      <c r="H30" s="18"/>
      <c r="I30" s="18"/>
      <c r="J30" s="18"/>
    </row>
    <row r="32" spans="1:10" x14ac:dyDescent="0.3">
      <c r="B32" t="s">
        <v>68</v>
      </c>
      <c r="C32">
        <v>15</v>
      </c>
      <c r="D32">
        <v>997</v>
      </c>
      <c r="F32">
        <f t="shared" ref="F32:F35" si="3">D32*C32</f>
        <v>14955</v>
      </c>
      <c r="J32">
        <f t="shared" ref="J32:J35" si="4">F32/C32</f>
        <v>997</v>
      </c>
    </row>
    <row r="33" spans="2:10" x14ac:dyDescent="0.3">
      <c r="B33" t="s">
        <v>99</v>
      </c>
      <c r="C33">
        <v>2</v>
      </c>
      <c r="D33">
        <v>2503</v>
      </c>
      <c r="F33">
        <f t="shared" si="3"/>
        <v>5006</v>
      </c>
    </row>
    <row r="34" spans="2:10" x14ac:dyDescent="0.3">
      <c r="B34" t="s">
        <v>100</v>
      </c>
      <c r="C34">
        <v>2</v>
      </c>
      <c r="D34">
        <v>1913</v>
      </c>
      <c r="F34">
        <f t="shared" si="3"/>
        <v>3826</v>
      </c>
    </row>
    <row r="35" spans="2:10" x14ac:dyDescent="0.3">
      <c r="B35" t="s">
        <v>69</v>
      </c>
      <c r="C35">
        <v>20</v>
      </c>
      <c r="D35">
        <v>152</v>
      </c>
      <c r="F35">
        <f t="shared" si="3"/>
        <v>3040</v>
      </c>
      <c r="J35">
        <f t="shared" si="4"/>
        <v>152</v>
      </c>
    </row>
    <row r="36" spans="2:10" x14ac:dyDescent="0.3">
      <c r="F36" s="8">
        <f>SUM(F32:F35)</f>
        <v>26827</v>
      </c>
    </row>
    <row r="37" spans="2:10" x14ac:dyDescent="0.3">
      <c r="C37">
        <f>SUM(C2:C36)</f>
        <v>79</v>
      </c>
    </row>
  </sheetData>
  <mergeCells count="5">
    <mergeCell ref="A2:J2"/>
    <mergeCell ref="A10:J10"/>
    <mergeCell ref="A19:J19"/>
    <mergeCell ref="A30:J30"/>
    <mergeCell ref="A27:J27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97B8-7B09-4EC7-8877-02B8FD883D49}">
  <dimension ref="A1:M45"/>
  <sheetViews>
    <sheetView topLeftCell="A14" workbookViewId="0">
      <selection activeCell="C42" sqref="C42"/>
    </sheetView>
  </sheetViews>
  <sheetFormatPr defaultRowHeight="14.4" x14ac:dyDescent="0.3"/>
  <cols>
    <col min="1" max="1" width="22" customWidth="1"/>
    <col min="2" max="2" width="9.88671875" customWidth="1"/>
    <col min="3" max="3" width="16.5546875" customWidth="1"/>
  </cols>
  <sheetData>
    <row r="1" spans="1:13" x14ac:dyDescent="0.3">
      <c r="A1" s="12"/>
      <c r="B1" s="12" t="s">
        <v>51</v>
      </c>
      <c r="C1" s="12"/>
      <c r="D1" s="12" t="s">
        <v>78</v>
      </c>
      <c r="E1" s="12"/>
      <c r="F1" s="12" t="s">
        <v>82</v>
      </c>
    </row>
    <row r="2" spans="1:13" x14ac:dyDescent="0.3">
      <c r="A2" t="s">
        <v>80</v>
      </c>
      <c r="D2">
        <v>9700</v>
      </c>
      <c r="L2" t="s">
        <v>214</v>
      </c>
      <c r="M2">
        <v>100000</v>
      </c>
    </row>
    <row r="3" spans="1:13" x14ac:dyDescent="0.3">
      <c r="A3" t="s">
        <v>79</v>
      </c>
      <c r="D3">
        <v>1600</v>
      </c>
      <c r="L3" t="s">
        <v>210</v>
      </c>
      <c r="M3">
        <v>200000</v>
      </c>
    </row>
    <row r="4" spans="1:13" x14ac:dyDescent="0.3">
      <c r="B4" s="4">
        <v>44859</v>
      </c>
      <c r="C4" t="s">
        <v>87</v>
      </c>
      <c r="D4">
        <v>10000</v>
      </c>
      <c r="L4" t="s">
        <v>215</v>
      </c>
      <c r="M4">
        <v>350000</v>
      </c>
    </row>
    <row r="5" spans="1:13" x14ac:dyDescent="0.3">
      <c r="B5" s="4">
        <v>44851</v>
      </c>
      <c r="C5" t="s">
        <v>81</v>
      </c>
      <c r="D5" s="10">
        <v>14500</v>
      </c>
      <c r="F5">
        <v>10100</v>
      </c>
      <c r="L5" t="s">
        <v>216</v>
      </c>
      <c r="M5">
        <v>200000</v>
      </c>
    </row>
    <row r="6" spans="1:13" x14ac:dyDescent="0.3">
      <c r="B6" s="4">
        <v>44851</v>
      </c>
      <c r="C6" t="s">
        <v>81</v>
      </c>
      <c r="D6">
        <v>11300</v>
      </c>
      <c r="L6" t="s">
        <v>217</v>
      </c>
      <c r="M6">
        <v>50000</v>
      </c>
    </row>
    <row r="7" spans="1:13" x14ac:dyDescent="0.3">
      <c r="L7" t="s">
        <v>218</v>
      </c>
      <c r="M7">
        <v>80000</v>
      </c>
    </row>
    <row r="8" spans="1:13" x14ac:dyDescent="0.3">
      <c r="D8">
        <f>SUM(D2:D7)</f>
        <v>47100</v>
      </c>
      <c r="F8">
        <f>SUM(F4:F7)</f>
        <v>10100</v>
      </c>
      <c r="G8">
        <f>D8-F8</f>
        <v>37000</v>
      </c>
      <c r="H8">
        <v>14500</v>
      </c>
      <c r="J8">
        <f>G8-H8</f>
        <v>22500</v>
      </c>
    </row>
    <row r="9" spans="1:13" x14ac:dyDescent="0.3">
      <c r="I9" s="3">
        <v>25000</v>
      </c>
      <c r="K9" s="11">
        <v>-2500</v>
      </c>
      <c r="M9">
        <f>SUM(M2:M8)</f>
        <v>980000</v>
      </c>
    </row>
    <row r="11" spans="1:13" x14ac:dyDescent="0.3">
      <c r="A11" t="s">
        <v>90</v>
      </c>
      <c r="D11">
        <v>8700</v>
      </c>
    </row>
    <row r="12" spans="1:13" x14ac:dyDescent="0.3">
      <c r="A12" t="s">
        <v>93</v>
      </c>
      <c r="C12">
        <v>7700</v>
      </c>
      <c r="D12" s="3">
        <v>1000</v>
      </c>
    </row>
    <row r="13" spans="1:13" x14ac:dyDescent="0.3">
      <c r="A13" s="5">
        <v>44897</v>
      </c>
      <c r="C13">
        <v>25000</v>
      </c>
      <c r="D13" s="3">
        <v>5000</v>
      </c>
    </row>
    <row r="14" spans="1:13" x14ac:dyDescent="0.3">
      <c r="A14" s="4">
        <v>44835</v>
      </c>
      <c r="B14" t="s">
        <v>88</v>
      </c>
      <c r="D14">
        <v>25000</v>
      </c>
      <c r="F14" s="3">
        <v>5000</v>
      </c>
      <c r="G14" s="3">
        <v>3800</v>
      </c>
      <c r="H14" s="3">
        <v>2500</v>
      </c>
      <c r="I14" t="s">
        <v>91</v>
      </c>
    </row>
    <row r="15" spans="1:13" x14ac:dyDescent="0.3">
      <c r="A15" s="4" t="s">
        <v>103</v>
      </c>
      <c r="C15">
        <v>3000</v>
      </c>
      <c r="D15" s="3">
        <v>5000</v>
      </c>
      <c r="E15">
        <v>8000</v>
      </c>
      <c r="F15" s="3"/>
      <c r="G15" s="3"/>
      <c r="H15" s="3"/>
    </row>
    <row r="16" spans="1:13" x14ac:dyDescent="0.3">
      <c r="A16" t="s">
        <v>83</v>
      </c>
      <c r="D16">
        <v>55000</v>
      </c>
    </row>
    <row r="17" spans="1:5" x14ac:dyDescent="0.3">
      <c r="A17" t="s">
        <v>84</v>
      </c>
      <c r="C17">
        <v>25000</v>
      </c>
    </row>
    <row r="18" spans="1:5" x14ac:dyDescent="0.3">
      <c r="A18" t="s">
        <v>85</v>
      </c>
      <c r="C18">
        <v>5700</v>
      </c>
      <c r="D18" s="10"/>
    </row>
    <row r="19" spans="1:5" x14ac:dyDescent="0.3">
      <c r="A19" t="s">
        <v>86</v>
      </c>
      <c r="C19">
        <v>45000</v>
      </c>
      <c r="D19" s="10"/>
    </row>
    <row r="20" spans="1:5" x14ac:dyDescent="0.3">
      <c r="A20" t="s">
        <v>92</v>
      </c>
      <c r="C20">
        <v>12750</v>
      </c>
      <c r="D20">
        <v>12500</v>
      </c>
      <c r="E20">
        <v>250</v>
      </c>
    </row>
    <row r="21" spans="1:5" x14ac:dyDescent="0.3">
      <c r="A21" t="s">
        <v>94</v>
      </c>
      <c r="C21">
        <v>5000</v>
      </c>
    </row>
    <row r="22" spans="1:5" x14ac:dyDescent="0.3">
      <c r="A22" t="s">
        <v>95</v>
      </c>
      <c r="B22" s="5">
        <v>44927</v>
      </c>
      <c r="C22" s="3"/>
      <c r="D22" s="3">
        <v>10000</v>
      </c>
    </row>
    <row r="23" spans="1:5" x14ac:dyDescent="0.3">
      <c r="A23" t="s">
        <v>104</v>
      </c>
      <c r="C23">
        <v>3000</v>
      </c>
    </row>
    <row r="24" spans="1:5" x14ac:dyDescent="0.3">
      <c r="C24" s="1">
        <f>SUM(C11:C23)</f>
        <v>132150</v>
      </c>
    </row>
    <row r="27" spans="1:5" x14ac:dyDescent="0.3">
      <c r="A27" t="s">
        <v>204</v>
      </c>
    </row>
    <row r="28" spans="1:5" x14ac:dyDescent="0.3">
      <c r="A28" s="13">
        <v>43678</v>
      </c>
      <c r="B28" s="14">
        <v>80000</v>
      </c>
    </row>
    <row r="29" spans="1:5" x14ac:dyDescent="0.3">
      <c r="A29" s="13" t="s">
        <v>212</v>
      </c>
      <c r="B29" s="14">
        <v>185000</v>
      </c>
    </row>
    <row r="30" spans="1:5" x14ac:dyDescent="0.3">
      <c r="A30" s="13" t="s">
        <v>210</v>
      </c>
      <c r="C30" s="3">
        <v>215000</v>
      </c>
    </row>
    <row r="31" spans="1:5" x14ac:dyDescent="0.3">
      <c r="A31" t="s">
        <v>117</v>
      </c>
      <c r="B31" s="14">
        <v>30000</v>
      </c>
    </row>
    <row r="32" spans="1:5" x14ac:dyDescent="0.3">
      <c r="A32" t="s">
        <v>117</v>
      </c>
      <c r="B32" s="14">
        <v>40000</v>
      </c>
    </row>
    <row r="33" spans="1:5" x14ac:dyDescent="0.3">
      <c r="A33" t="s">
        <v>205</v>
      </c>
      <c r="C33" s="3">
        <v>20000</v>
      </c>
    </row>
    <row r="34" spans="1:5" x14ac:dyDescent="0.3">
      <c r="A34" t="s">
        <v>213</v>
      </c>
      <c r="C34" s="3">
        <v>5000</v>
      </c>
    </row>
    <row r="35" spans="1:5" x14ac:dyDescent="0.3">
      <c r="A35" t="s">
        <v>206</v>
      </c>
      <c r="C35" s="3">
        <v>5000</v>
      </c>
    </row>
    <row r="36" spans="1:5" x14ac:dyDescent="0.3">
      <c r="A36" t="s">
        <v>211</v>
      </c>
      <c r="C36" s="3">
        <v>10000</v>
      </c>
    </row>
    <row r="37" spans="1:5" x14ac:dyDescent="0.3">
      <c r="A37" t="s">
        <v>207</v>
      </c>
      <c r="C37" s="3">
        <v>5000</v>
      </c>
    </row>
    <row r="38" spans="1:5" x14ac:dyDescent="0.3">
      <c r="A38" t="s">
        <v>208</v>
      </c>
      <c r="C38" s="3">
        <v>10190</v>
      </c>
    </row>
    <row r="39" spans="1:5" x14ac:dyDescent="0.3">
      <c r="A39" s="13">
        <v>45931</v>
      </c>
      <c r="B39" s="14">
        <v>20000</v>
      </c>
    </row>
    <row r="40" spans="1:5" x14ac:dyDescent="0.3">
      <c r="A40" t="s">
        <v>209</v>
      </c>
      <c r="C40" s="3">
        <v>53300</v>
      </c>
    </row>
    <row r="41" spans="1:5" x14ac:dyDescent="0.3">
      <c r="A41" t="s">
        <v>211</v>
      </c>
      <c r="C41" s="3">
        <v>1500</v>
      </c>
    </row>
    <row r="45" spans="1:5" x14ac:dyDescent="0.3">
      <c r="B45">
        <f>SUM(B27:B43)</f>
        <v>355000</v>
      </c>
      <c r="C45">
        <f>SUM(C27:C43)</f>
        <v>324990</v>
      </c>
      <c r="E45" s="1">
        <f>B45-C45</f>
        <v>30010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2F5D-B1CF-493C-91B7-34783B945BAC}">
  <dimension ref="A1:E10"/>
  <sheetViews>
    <sheetView workbookViewId="0">
      <selection activeCell="E5" sqref="E5"/>
    </sheetView>
  </sheetViews>
  <sheetFormatPr defaultRowHeight="14.4" x14ac:dyDescent="0.3"/>
  <cols>
    <col min="1" max="1" width="18.5546875" customWidth="1"/>
  </cols>
  <sheetData>
    <row r="1" spans="1:5" x14ac:dyDescent="0.3">
      <c r="A1" t="s">
        <v>21</v>
      </c>
      <c r="B1" t="s">
        <v>17</v>
      </c>
      <c r="E1">
        <v>100000</v>
      </c>
    </row>
    <row r="2" spans="1:5" x14ac:dyDescent="0.3">
      <c r="A2" t="s">
        <v>23</v>
      </c>
      <c r="B2" t="s">
        <v>26</v>
      </c>
      <c r="E2">
        <v>100000</v>
      </c>
    </row>
    <row r="3" spans="1:5" x14ac:dyDescent="0.3">
      <c r="A3" t="s">
        <v>22</v>
      </c>
      <c r="B3" t="s">
        <v>25</v>
      </c>
      <c r="E3">
        <v>50000</v>
      </c>
    </row>
    <row r="4" spans="1:5" x14ac:dyDescent="0.3">
      <c r="A4" t="s">
        <v>43</v>
      </c>
      <c r="B4" t="s">
        <v>40</v>
      </c>
      <c r="E4">
        <v>121000</v>
      </c>
    </row>
    <row r="5" spans="1:5" x14ac:dyDescent="0.3">
      <c r="A5" t="s">
        <v>0</v>
      </c>
      <c r="B5" t="s">
        <v>1</v>
      </c>
      <c r="E5">
        <v>250000</v>
      </c>
    </row>
    <row r="6" spans="1:5" x14ac:dyDescent="0.3">
      <c r="A6" t="s">
        <v>24</v>
      </c>
      <c r="E6">
        <v>100000</v>
      </c>
    </row>
    <row r="10" spans="1:5" x14ac:dyDescent="0.3">
      <c r="E10">
        <f>SUM(E1:E9)</f>
        <v>721000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1E62-7A68-403D-8960-BF3DDBAB4536}">
  <dimension ref="A1:F22"/>
  <sheetViews>
    <sheetView workbookViewId="0">
      <selection activeCell="G4" sqref="G4"/>
    </sheetView>
  </sheetViews>
  <sheetFormatPr defaultRowHeight="14.4" x14ac:dyDescent="0.3"/>
  <cols>
    <col min="1" max="1" width="13.33203125" customWidth="1"/>
    <col min="2" max="2" width="21.5546875" customWidth="1"/>
    <col min="5" max="5" width="11.21875" customWidth="1"/>
  </cols>
  <sheetData>
    <row r="1" spans="1:6" x14ac:dyDescent="0.3">
      <c r="A1" s="4">
        <v>44513</v>
      </c>
      <c r="D1" s="1">
        <v>2231000</v>
      </c>
    </row>
    <row r="2" spans="1:6" x14ac:dyDescent="0.3">
      <c r="B2" t="s">
        <v>37</v>
      </c>
      <c r="C2" t="s">
        <v>36</v>
      </c>
      <c r="E2" s="3">
        <v>1100000</v>
      </c>
    </row>
    <row r="3" spans="1:6" x14ac:dyDescent="0.3">
      <c r="B3" t="s">
        <v>38</v>
      </c>
      <c r="C3" t="s">
        <v>39</v>
      </c>
      <c r="E3" s="3">
        <v>384000</v>
      </c>
    </row>
    <row r="4" spans="1:6" x14ac:dyDescent="0.3">
      <c r="F4">
        <v>747000</v>
      </c>
    </row>
    <row r="5" spans="1:6" x14ac:dyDescent="0.3">
      <c r="D5" s="1">
        <v>2974000</v>
      </c>
    </row>
    <row r="7" spans="1:6" x14ac:dyDescent="0.3">
      <c r="A7" s="2">
        <v>44548</v>
      </c>
      <c r="B7" t="s">
        <v>34</v>
      </c>
      <c r="C7" t="s">
        <v>39</v>
      </c>
      <c r="E7" s="3">
        <v>600000</v>
      </c>
    </row>
    <row r="8" spans="1:6" x14ac:dyDescent="0.3">
      <c r="A8" s="2">
        <v>44552</v>
      </c>
      <c r="B8" t="s">
        <v>35</v>
      </c>
      <c r="C8" t="s">
        <v>36</v>
      </c>
      <c r="E8" s="3">
        <v>600000</v>
      </c>
    </row>
    <row r="12" spans="1:6" x14ac:dyDescent="0.3">
      <c r="A12" s="2">
        <v>44712</v>
      </c>
      <c r="B12" t="s">
        <v>48</v>
      </c>
      <c r="C12" t="s">
        <v>47</v>
      </c>
      <c r="D12">
        <v>100000</v>
      </c>
    </row>
    <row r="13" spans="1:6" x14ac:dyDescent="0.3">
      <c r="A13" s="2">
        <v>44795</v>
      </c>
      <c r="B13" t="s">
        <v>72</v>
      </c>
      <c r="C13" t="s">
        <v>73</v>
      </c>
      <c r="D13">
        <v>250000</v>
      </c>
    </row>
    <row r="22" spans="5:5" x14ac:dyDescent="0.3">
      <c r="E22">
        <f>SUM(E2:E21)</f>
        <v>2684000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7CDB-0AB7-4D38-AA28-8A829452639C}">
  <dimension ref="A1:F49"/>
  <sheetViews>
    <sheetView topLeftCell="A29" workbookViewId="0">
      <selection activeCell="D47" sqref="D47"/>
    </sheetView>
  </sheetViews>
  <sheetFormatPr defaultRowHeight="14.4" x14ac:dyDescent="0.3"/>
  <cols>
    <col min="1" max="1" width="33.5546875" customWidth="1"/>
    <col min="2" max="2" width="12.44140625" customWidth="1"/>
  </cols>
  <sheetData>
    <row r="1" spans="1:2" x14ac:dyDescent="0.3">
      <c r="A1" t="s">
        <v>110</v>
      </c>
      <c r="B1">
        <v>44500</v>
      </c>
    </row>
    <row r="2" spans="1:2" x14ac:dyDescent="0.3">
      <c r="A2" t="s">
        <v>111</v>
      </c>
      <c r="B2">
        <v>30000</v>
      </c>
    </row>
    <row r="3" spans="1:2" x14ac:dyDescent="0.3">
      <c r="A3" t="s">
        <v>112</v>
      </c>
      <c r="B3">
        <v>10000</v>
      </c>
    </row>
    <row r="4" spans="1:2" x14ac:dyDescent="0.3">
      <c r="A4" t="s">
        <v>110</v>
      </c>
      <c r="B4">
        <v>50000</v>
      </c>
    </row>
    <row r="5" spans="1:2" x14ac:dyDescent="0.3">
      <c r="A5" t="s">
        <v>201</v>
      </c>
      <c r="B5">
        <v>17000</v>
      </c>
    </row>
    <row r="7" spans="1:2" x14ac:dyDescent="0.3">
      <c r="B7">
        <f>SUM(B1:B5)</f>
        <v>151500</v>
      </c>
    </row>
    <row r="10" spans="1:2" x14ac:dyDescent="0.3">
      <c r="A10" t="s">
        <v>113</v>
      </c>
      <c r="B10">
        <v>4800</v>
      </c>
    </row>
    <row r="11" spans="1:2" x14ac:dyDescent="0.3">
      <c r="A11" t="s">
        <v>114</v>
      </c>
      <c r="B11">
        <v>700</v>
      </c>
    </row>
    <row r="12" spans="1:2" x14ac:dyDescent="0.3">
      <c r="A12" t="s">
        <v>115</v>
      </c>
      <c r="B12">
        <v>1000</v>
      </c>
    </row>
    <row r="13" spans="1:2" x14ac:dyDescent="0.3">
      <c r="A13" t="s">
        <v>116</v>
      </c>
      <c r="B13">
        <v>1000</v>
      </c>
    </row>
    <row r="14" spans="1:2" x14ac:dyDescent="0.3">
      <c r="A14" t="s">
        <v>117</v>
      </c>
      <c r="B14">
        <v>1307</v>
      </c>
    </row>
    <row r="15" spans="1:2" x14ac:dyDescent="0.3">
      <c r="A15" t="s">
        <v>118</v>
      </c>
      <c r="B15">
        <v>6600</v>
      </c>
    </row>
    <row r="16" spans="1:2" x14ac:dyDescent="0.3">
      <c r="A16" t="s">
        <v>119</v>
      </c>
      <c r="B16">
        <v>3000</v>
      </c>
    </row>
    <row r="17" spans="1:6" x14ac:dyDescent="0.3">
      <c r="A17" t="s">
        <v>117</v>
      </c>
      <c r="B17">
        <v>800</v>
      </c>
    </row>
    <row r="18" spans="1:6" x14ac:dyDescent="0.3">
      <c r="A18" t="s">
        <v>120</v>
      </c>
      <c r="B18">
        <v>4000</v>
      </c>
    </row>
    <row r="19" spans="1:6" x14ac:dyDescent="0.3">
      <c r="A19" t="s">
        <v>121</v>
      </c>
      <c r="B19">
        <v>5700</v>
      </c>
      <c r="C19">
        <v>4100</v>
      </c>
      <c r="D19">
        <v>600</v>
      </c>
      <c r="E19">
        <v>400</v>
      </c>
      <c r="F19">
        <v>500</v>
      </c>
    </row>
    <row r="20" spans="1:6" x14ac:dyDescent="0.3">
      <c r="A20" t="s">
        <v>122</v>
      </c>
      <c r="B20">
        <v>3000</v>
      </c>
    </row>
    <row r="21" spans="1:6" x14ac:dyDescent="0.3">
      <c r="A21" t="s">
        <v>134</v>
      </c>
      <c r="B21">
        <v>800</v>
      </c>
    </row>
    <row r="22" spans="1:6" x14ac:dyDescent="0.3">
      <c r="A22" t="s">
        <v>135</v>
      </c>
      <c r="B22">
        <v>1400</v>
      </c>
    </row>
    <row r="23" spans="1:6" x14ac:dyDescent="0.3">
      <c r="A23" t="s">
        <v>123</v>
      </c>
      <c r="B23">
        <v>1100</v>
      </c>
    </row>
    <row r="24" spans="1:6" x14ac:dyDescent="0.3">
      <c r="A24" t="s">
        <v>196</v>
      </c>
      <c r="B24">
        <v>1100</v>
      </c>
    </row>
    <row r="25" spans="1:6" x14ac:dyDescent="0.3">
      <c r="A25" t="s">
        <v>200</v>
      </c>
      <c r="B25">
        <v>500</v>
      </c>
    </row>
    <row r="26" spans="1:6" x14ac:dyDescent="0.3">
      <c r="A26" t="s">
        <v>124</v>
      </c>
      <c r="B26">
        <v>600</v>
      </c>
    </row>
    <row r="27" spans="1:6" x14ac:dyDescent="0.3">
      <c r="A27" t="s">
        <v>197</v>
      </c>
      <c r="B27">
        <v>1000</v>
      </c>
    </row>
    <row r="28" spans="1:6" x14ac:dyDescent="0.3">
      <c r="A28" t="s">
        <v>198</v>
      </c>
      <c r="B28">
        <v>2100</v>
      </c>
    </row>
    <row r="29" spans="1:6" x14ac:dyDescent="0.3">
      <c r="A29" t="s">
        <v>125</v>
      </c>
      <c r="B29">
        <v>1400</v>
      </c>
    </row>
    <row r="30" spans="1:6" x14ac:dyDescent="0.3">
      <c r="A30" t="s">
        <v>126</v>
      </c>
      <c r="B30">
        <v>4500</v>
      </c>
    </row>
    <row r="31" spans="1:6" x14ac:dyDescent="0.3">
      <c r="A31" t="s">
        <v>199</v>
      </c>
      <c r="B31">
        <v>4500</v>
      </c>
    </row>
    <row r="32" spans="1:6" x14ac:dyDescent="0.3">
      <c r="A32" t="s">
        <v>127</v>
      </c>
      <c r="B32">
        <v>11700</v>
      </c>
    </row>
    <row r="33" spans="1:4" x14ac:dyDescent="0.3">
      <c r="A33" t="s">
        <v>128</v>
      </c>
      <c r="B33">
        <v>1300</v>
      </c>
    </row>
    <row r="34" spans="1:4" x14ac:dyDescent="0.3">
      <c r="A34" t="s">
        <v>129</v>
      </c>
      <c r="B34">
        <v>20300</v>
      </c>
    </row>
    <row r="35" spans="1:4" x14ac:dyDescent="0.3">
      <c r="A35" t="s">
        <v>130</v>
      </c>
      <c r="B35">
        <v>1500</v>
      </c>
    </row>
    <row r="36" spans="1:4" x14ac:dyDescent="0.3">
      <c r="A36" t="s">
        <v>131</v>
      </c>
      <c r="B36">
        <v>9000</v>
      </c>
    </row>
    <row r="37" spans="1:4" x14ac:dyDescent="0.3">
      <c r="A37" t="s">
        <v>132</v>
      </c>
      <c r="B37">
        <v>30000</v>
      </c>
    </row>
    <row r="38" spans="1:4" x14ac:dyDescent="0.3">
      <c r="A38" t="s">
        <v>111</v>
      </c>
      <c r="B38">
        <v>22500</v>
      </c>
    </row>
    <row r="39" spans="1:4" x14ac:dyDescent="0.3">
      <c r="A39" t="s">
        <v>133</v>
      </c>
      <c r="B39">
        <v>6500</v>
      </c>
    </row>
    <row r="40" spans="1:4" x14ac:dyDescent="0.3">
      <c r="A40" t="s">
        <v>117</v>
      </c>
      <c r="B40">
        <v>1800</v>
      </c>
    </row>
    <row r="41" spans="1:4" x14ac:dyDescent="0.3">
      <c r="A41" t="s">
        <v>117</v>
      </c>
      <c r="B41">
        <v>1000</v>
      </c>
    </row>
    <row r="42" spans="1:4" x14ac:dyDescent="0.3">
      <c r="A42" t="s">
        <v>117</v>
      </c>
      <c r="B42">
        <v>1000</v>
      </c>
    </row>
    <row r="43" spans="1:4" x14ac:dyDescent="0.3">
      <c r="A43" t="s">
        <v>117</v>
      </c>
      <c r="B43">
        <v>1700</v>
      </c>
    </row>
    <row r="44" spans="1:4" x14ac:dyDescent="0.3">
      <c r="A44" t="s">
        <v>117</v>
      </c>
      <c r="B44">
        <v>1860</v>
      </c>
    </row>
    <row r="46" spans="1:4" x14ac:dyDescent="0.3">
      <c r="B46">
        <f>SUM(B10:B45)</f>
        <v>161067</v>
      </c>
      <c r="D46">
        <f>B7-B46</f>
        <v>-9567</v>
      </c>
    </row>
    <row r="47" spans="1:4" x14ac:dyDescent="0.3">
      <c r="A47" t="s">
        <v>136</v>
      </c>
      <c r="B47">
        <v>6000</v>
      </c>
      <c r="D47">
        <v>4000</v>
      </c>
    </row>
    <row r="49" spans="4:4" x14ac:dyDescent="0.3">
      <c r="D49">
        <f>D46+D47</f>
        <v>-5567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C3C6C-94EC-4CEC-BE74-87A4A23EC234}">
  <dimension ref="A2:E63"/>
  <sheetViews>
    <sheetView workbookViewId="0">
      <selection activeCell="A51" sqref="A51"/>
    </sheetView>
  </sheetViews>
  <sheetFormatPr defaultRowHeight="14.4" x14ac:dyDescent="0.3"/>
  <cols>
    <col min="1" max="1" width="21.5546875" customWidth="1"/>
    <col min="2" max="2" width="13.21875" customWidth="1"/>
    <col min="3" max="3" width="16.77734375" customWidth="1"/>
  </cols>
  <sheetData>
    <row r="2" spans="1:5" x14ac:dyDescent="0.3">
      <c r="A2" t="s">
        <v>138</v>
      </c>
      <c r="B2">
        <v>3500</v>
      </c>
    </row>
    <row r="3" spans="1:5" x14ac:dyDescent="0.3">
      <c r="A3" t="s">
        <v>139</v>
      </c>
      <c r="B3">
        <v>17500</v>
      </c>
    </row>
    <row r="4" spans="1:5" x14ac:dyDescent="0.3">
      <c r="A4" t="s">
        <v>140</v>
      </c>
      <c r="B4">
        <v>46700</v>
      </c>
      <c r="C4" t="s">
        <v>141</v>
      </c>
    </row>
    <row r="5" spans="1:5" x14ac:dyDescent="0.3">
      <c r="A5" t="s">
        <v>142</v>
      </c>
      <c r="B5">
        <v>10000</v>
      </c>
      <c r="C5" t="s">
        <v>141</v>
      </c>
      <c r="D5">
        <v>5000</v>
      </c>
      <c r="E5">
        <v>5000</v>
      </c>
    </row>
    <row r="6" spans="1:5" x14ac:dyDescent="0.3">
      <c r="A6" t="s">
        <v>143</v>
      </c>
      <c r="B6">
        <v>250</v>
      </c>
    </row>
    <row r="7" spans="1:5" x14ac:dyDescent="0.3">
      <c r="A7" t="s">
        <v>144</v>
      </c>
      <c r="B7">
        <v>10000</v>
      </c>
    </row>
    <row r="8" spans="1:5" x14ac:dyDescent="0.3">
      <c r="A8" t="s">
        <v>145</v>
      </c>
      <c r="B8">
        <v>2000</v>
      </c>
    </row>
    <row r="9" spans="1:5" x14ac:dyDescent="0.3">
      <c r="A9" t="s">
        <v>146</v>
      </c>
      <c r="B9">
        <v>5000</v>
      </c>
    </row>
    <row r="10" spans="1:5" x14ac:dyDescent="0.3">
      <c r="A10" t="s">
        <v>147</v>
      </c>
      <c r="B10">
        <v>8000</v>
      </c>
    </row>
    <row r="11" spans="1:5" x14ac:dyDescent="0.3">
      <c r="A11" t="s">
        <v>148</v>
      </c>
      <c r="B11">
        <v>100400</v>
      </c>
    </row>
    <row r="12" spans="1:5" x14ac:dyDescent="0.3">
      <c r="A12" t="s">
        <v>149</v>
      </c>
      <c r="B12">
        <v>2600</v>
      </c>
      <c r="D12">
        <v>1500</v>
      </c>
      <c r="E12">
        <v>1100</v>
      </c>
    </row>
    <row r="13" spans="1:5" x14ac:dyDescent="0.3">
      <c r="A13" t="s">
        <v>150</v>
      </c>
      <c r="B13">
        <v>15500</v>
      </c>
    </row>
    <row r="14" spans="1:5" x14ac:dyDescent="0.3">
      <c r="A14" t="s">
        <v>151</v>
      </c>
      <c r="B14">
        <v>1500</v>
      </c>
    </row>
    <row r="15" spans="1:5" x14ac:dyDescent="0.3">
      <c r="A15" t="s">
        <v>152</v>
      </c>
      <c r="B15">
        <v>20000</v>
      </c>
    </row>
    <row r="16" spans="1:5" x14ac:dyDescent="0.3">
      <c r="A16" t="s">
        <v>153</v>
      </c>
      <c r="B16">
        <v>20000</v>
      </c>
      <c r="C16" t="s">
        <v>141</v>
      </c>
    </row>
    <row r="17" spans="1:5" x14ac:dyDescent="0.3">
      <c r="A17" t="s">
        <v>154</v>
      </c>
      <c r="B17">
        <v>5000</v>
      </c>
      <c r="C17" t="s">
        <v>141</v>
      </c>
    </row>
    <row r="18" spans="1:5" x14ac:dyDescent="0.3">
      <c r="A18" t="s">
        <v>155</v>
      </c>
      <c r="B18">
        <v>17500</v>
      </c>
      <c r="D18">
        <v>7000</v>
      </c>
      <c r="E18">
        <v>10500</v>
      </c>
    </row>
    <row r="19" spans="1:5" x14ac:dyDescent="0.3">
      <c r="A19" t="s">
        <v>156</v>
      </c>
      <c r="B19">
        <v>7000</v>
      </c>
    </row>
    <row r="20" spans="1:5" x14ac:dyDescent="0.3">
      <c r="A20" t="s">
        <v>157</v>
      </c>
      <c r="B20">
        <v>20000</v>
      </c>
      <c r="C20" t="s">
        <v>141</v>
      </c>
    </row>
    <row r="21" spans="1:5" x14ac:dyDescent="0.3">
      <c r="A21" t="s">
        <v>158</v>
      </c>
      <c r="B21">
        <v>17000</v>
      </c>
      <c r="C21" t="s">
        <v>141</v>
      </c>
      <c r="D21">
        <v>10000</v>
      </c>
      <c r="E21">
        <v>7000</v>
      </c>
    </row>
    <row r="22" spans="1:5" x14ac:dyDescent="0.3">
      <c r="A22" t="s">
        <v>159</v>
      </c>
      <c r="B22">
        <v>34000</v>
      </c>
    </row>
    <row r="23" spans="1:5" x14ac:dyDescent="0.3">
      <c r="A23" t="s">
        <v>160</v>
      </c>
    </row>
    <row r="24" spans="1:5" x14ac:dyDescent="0.3">
      <c r="A24" t="s">
        <v>161</v>
      </c>
      <c r="B24">
        <v>5500</v>
      </c>
    </row>
    <row r="25" spans="1:5" x14ac:dyDescent="0.3">
      <c r="A25" t="s">
        <v>162</v>
      </c>
      <c r="B25">
        <v>1500</v>
      </c>
    </row>
    <row r="26" spans="1:5" x14ac:dyDescent="0.3">
      <c r="A26" t="s">
        <v>163</v>
      </c>
      <c r="B26">
        <v>16500</v>
      </c>
    </row>
    <row r="27" spans="1:5" x14ac:dyDescent="0.3">
      <c r="A27" t="s">
        <v>164</v>
      </c>
      <c r="B27">
        <v>15000</v>
      </c>
    </row>
    <row r="28" spans="1:5" x14ac:dyDescent="0.3">
      <c r="A28" t="s">
        <v>165</v>
      </c>
      <c r="B28">
        <v>7500</v>
      </c>
    </row>
    <row r="29" spans="1:5" x14ac:dyDescent="0.3">
      <c r="A29" t="s">
        <v>223</v>
      </c>
      <c r="B29">
        <v>3500</v>
      </c>
    </row>
    <row r="30" spans="1:5" x14ac:dyDescent="0.3">
      <c r="A30" t="s">
        <v>166</v>
      </c>
      <c r="B30">
        <v>800</v>
      </c>
    </row>
    <row r="31" spans="1:5" x14ac:dyDescent="0.3">
      <c r="A31" t="s">
        <v>167</v>
      </c>
      <c r="B31">
        <v>1200</v>
      </c>
    </row>
    <row r="32" spans="1:5" x14ac:dyDescent="0.3">
      <c r="A32" t="s">
        <v>168</v>
      </c>
      <c r="B32">
        <v>2800</v>
      </c>
    </row>
    <row r="33" spans="1:5" x14ac:dyDescent="0.3">
      <c r="A33" t="s">
        <v>169</v>
      </c>
      <c r="B33">
        <v>4000</v>
      </c>
    </row>
    <row r="34" spans="1:5" x14ac:dyDescent="0.3">
      <c r="A34" t="s">
        <v>170</v>
      </c>
      <c r="B34">
        <v>6000</v>
      </c>
    </row>
    <row r="35" spans="1:5" x14ac:dyDescent="0.3">
      <c r="A35" t="s">
        <v>171</v>
      </c>
      <c r="B35">
        <v>31000</v>
      </c>
    </row>
    <row r="36" spans="1:5" x14ac:dyDescent="0.3">
      <c r="A36" t="s">
        <v>172</v>
      </c>
      <c r="B36">
        <v>15000</v>
      </c>
    </row>
    <row r="37" spans="1:5" x14ac:dyDescent="0.3">
      <c r="A37" t="s">
        <v>163</v>
      </c>
      <c r="B37">
        <v>18000</v>
      </c>
    </row>
    <row r="38" spans="1:5" x14ac:dyDescent="0.3">
      <c r="A38" t="s">
        <v>173</v>
      </c>
      <c r="B38">
        <v>1150</v>
      </c>
    </row>
    <row r="39" spans="1:5" x14ac:dyDescent="0.3">
      <c r="A39" t="s">
        <v>174</v>
      </c>
      <c r="B39">
        <v>650</v>
      </c>
    </row>
    <row r="40" spans="1:5" x14ac:dyDescent="0.3">
      <c r="A40" t="s">
        <v>175</v>
      </c>
    </row>
    <row r="41" spans="1:5" x14ac:dyDescent="0.3">
      <c r="A41" t="s">
        <v>176</v>
      </c>
      <c r="B41">
        <v>50000</v>
      </c>
      <c r="D41">
        <v>20000</v>
      </c>
      <c r="E41">
        <v>30000</v>
      </c>
    </row>
    <row r="42" spans="1:5" x14ac:dyDescent="0.3">
      <c r="A42" t="s">
        <v>177</v>
      </c>
      <c r="B42">
        <v>2500</v>
      </c>
    </row>
    <row r="43" spans="1:5" x14ac:dyDescent="0.3">
      <c r="A43" t="s">
        <v>161</v>
      </c>
      <c r="B43">
        <v>5000</v>
      </c>
    </row>
    <row r="44" spans="1:5" x14ac:dyDescent="0.3">
      <c r="A44" t="s">
        <v>178</v>
      </c>
      <c r="B44">
        <v>16000</v>
      </c>
    </row>
    <row r="45" spans="1:5" x14ac:dyDescent="0.3">
      <c r="A45" t="s">
        <v>162</v>
      </c>
      <c r="B45">
        <v>3000</v>
      </c>
    </row>
    <row r="46" spans="1:5" x14ac:dyDescent="0.3">
      <c r="A46" t="s">
        <v>179</v>
      </c>
      <c r="B46">
        <v>10000</v>
      </c>
    </row>
    <row r="47" spans="1:5" x14ac:dyDescent="0.3">
      <c r="A47" t="s">
        <v>180</v>
      </c>
      <c r="B47">
        <v>5000</v>
      </c>
    </row>
    <row r="48" spans="1:5" x14ac:dyDescent="0.3">
      <c r="A48" t="s">
        <v>181</v>
      </c>
      <c r="B48">
        <v>2000</v>
      </c>
    </row>
    <row r="49" spans="1:3" x14ac:dyDescent="0.3">
      <c r="A49" t="s">
        <v>182</v>
      </c>
      <c r="B49">
        <v>5000</v>
      </c>
    </row>
    <row r="50" spans="1:3" x14ac:dyDescent="0.3">
      <c r="A50" t="s">
        <v>183</v>
      </c>
      <c r="B50">
        <v>9000</v>
      </c>
    </row>
    <row r="51" spans="1:3" x14ac:dyDescent="0.3">
      <c r="A51" t="s">
        <v>182</v>
      </c>
      <c r="B51">
        <v>1200</v>
      </c>
    </row>
    <row r="52" spans="1:3" x14ac:dyDescent="0.3">
      <c r="A52" t="s">
        <v>184</v>
      </c>
      <c r="B52">
        <v>2700</v>
      </c>
    </row>
    <row r="53" spans="1:3" x14ac:dyDescent="0.3">
      <c r="A53" t="s">
        <v>185</v>
      </c>
      <c r="B53">
        <v>2200</v>
      </c>
    </row>
    <row r="54" spans="1:3" x14ac:dyDescent="0.3">
      <c r="A54" t="s">
        <v>186</v>
      </c>
      <c r="B54">
        <v>21000</v>
      </c>
    </row>
    <row r="55" spans="1:3" x14ac:dyDescent="0.3">
      <c r="A55" t="s">
        <v>187</v>
      </c>
      <c r="B55">
        <v>30000</v>
      </c>
    </row>
    <row r="56" spans="1:3" x14ac:dyDescent="0.3">
      <c r="A56" t="s">
        <v>188</v>
      </c>
      <c r="B56">
        <v>1000</v>
      </c>
    </row>
    <row r="57" spans="1:3" x14ac:dyDescent="0.3">
      <c r="A57" t="s">
        <v>176</v>
      </c>
      <c r="B57">
        <v>50000</v>
      </c>
    </row>
    <row r="58" spans="1:3" x14ac:dyDescent="0.3">
      <c r="A58" t="s">
        <v>189</v>
      </c>
      <c r="B58">
        <v>33000</v>
      </c>
    </row>
    <row r="59" spans="1:3" x14ac:dyDescent="0.3">
      <c r="A59" t="s">
        <v>190</v>
      </c>
      <c r="B59">
        <v>1200</v>
      </c>
    </row>
    <row r="60" spans="1:3" x14ac:dyDescent="0.3">
      <c r="A60" t="s">
        <v>203</v>
      </c>
      <c r="B60">
        <v>70000</v>
      </c>
      <c r="C60">
        <v>135000</v>
      </c>
    </row>
    <row r="63" spans="1:3" x14ac:dyDescent="0.3">
      <c r="B63">
        <f>SUM(B2:B61)</f>
        <v>813350</v>
      </c>
    </row>
  </sheetData>
  <autoFilter ref="A2:E59" xr:uid="{1B8C3C6C-94EC-4CEC-BE74-87A4A23EC23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5BA2511DA69348839F8B745F516E4C" ma:contentTypeVersion="11" ma:contentTypeDescription="Create a new document." ma:contentTypeScope="" ma:versionID="373ad28f1a147a2a6f6bd66738dfda56">
  <xsd:schema xmlns:xsd="http://www.w3.org/2001/XMLSchema" xmlns:xs="http://www.w3.org/2001/XMLSchema" xmlns:p="http://schemas.microsoft.com/office/2006/metadata/properties" xmlns:ns3="802e30b2-81cc-4f64-a6fd-fcc6cb40b6a0" xmlns:ns4="7b097c6b-d89a-4837-8952-caafdf0de263" targetNamespace="http://schemas.microsoft.com/office/2006/metadata/properties" ma:root="true" ma:fieldsID="ed4c1e5a4ad9b328db1317525a4f55fb" ns3:_="" ns4:_="">
    <xsd:import namespace="802e30b2-81cc-4f64-a6fd-fcc6cb40b6a0"/>
    <xsd:import namespace="7b097c6b-d89a-4837-8952-caafdf0de26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e30b2-81cc-4f64-a6fd-fcc6cb40b6a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97c6b-d89a-4837-8952-caafdf0de2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D76474-8C36-403F-88D8-A7C4240367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AF644F-1122-4754-A986-B0DEF7BD5A8C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802e30b2-81cc-4f64-a6fd-fcc6cb40b6a0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b097c6b-d89a-4837-8952-caafdf0de263"/>
  </ds:schemaRefs>
</ds:datastoreItem>
</file>

<file path=customXml/itemProps3.xml><?xml version="1.0" encoding="utf-8"?>
<ds:datastoreItem xmlns:ds="http://schemas.openxmlformats.org/officeDocument/2006/customXml" ds:itemID="{4AE8CE7C-B120-4FCF-A6E6-617741357C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e30b2-81cc-4f64-a6fd-fcc6cb40b6a0"/>
    <ds:schemaRef ds:uri="7b097c6b-d89a-4837-8952-caafdf0de2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Vinod Shares</vt:lpstr>
      <vt:lpstr>Names</vt:lpstr>
      <vt:lpstr>Ajay Shares</vt:lpstr>
      <vt:lpstr>Debt</vt:lpstr>
      <vt:lpstr>Sheet2</vt:lpstr>
      <vt:lpstr>Sheet3</vt:lpstr>
      <vt:lpstr>Ravi Mamu</vt:lpstr>
      <vt:lpstr>Mrg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Pandaga, Ajay</dc:creator>
  <cp:lastModifiedBy>Kumar, Ajay</cp:lastModifiedBy>
  <dcterms:created xsi:type="dcterms:W3CDTF">2021-11-17T05:14:32Z</dcterms:created>
  <dcterms:modified xsi:type="dcterms:W3CDTF">2024-10-27T06:52:28Z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0x010100A85BA2511DA69348839F8B745F516E4C</vt:lpwstr>
  </property>
</Properties>
</file>